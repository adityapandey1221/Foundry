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Habits Setup" sheetId="2" state="visible" r:id="rId2"/>
    <sheet xmlns:r="http://schemas.openxmlformats.org/officeDocument/2006/relationships" name="Check-In" sheetId="3" state="visible" r:id="rId3"/>
    <sheet xmlns:r="http://schemas.openxmlformats.org/officeDocument/2006/relationships" name="XP &amp; Levels" sheetId="4" state="visible" r:id="rId4"/>
    <sheet xmlns:r="http://schemas.openxmlformats.org/officeDocument/2006/relationships" name="Heatmap" sheetId="5" state="visible" r:id="rId5"/>
    <sheet xmlns:r="http://schemas.openxmlformats.org/officeDocument/2006/relationships" name="Analytics" sheetId="6" state="visible" r:id="rId6"/>
  </sheets>
  <definedNames/>
  <calcPr calcId="124519" fullCalcOnLoad="1"/>
</workbook>
</file>

<file path=xl/styles.xml><?xml version="1.0" encoding="utf-8"?>
<styleSheet xmlns="http://schemas.openxmlformats.org/spreadsheetml/2006/main">
  <numFmts count="0"/>
  <fonts count="78">
    <font>
      <name val="Calibri"/>
      <family val="2"/>
      <color theme="1"/>
      <sz val="11"/>
      <scheme val="minor"/>
    </font>
    <font>
      <name val="Arial"/>
      <b val="1"/>
      <color rgb="00111827"/>
      <sz val="18"/>
    </font>
    <font>
      <name val="Arial"/>
      <i val="1"/>
      <color rgb="009CA3AF"/>
      <sz val="9"/>
    </font>
    <font>
      <name val="Arial"/>
      <b val="1"/>
      <color rgb="004B5563"/>
      <sz val="9"/>
    </font>
    <font>
      <name val="Arial"/>
      <color rgb="004B5563"/>
      <sz val="10"/>
    </font>
    <font>
      <name val="Arial"/>
      <color rgb="000EA5E9"/>
      <sz val="10"/>
    </font>
    <font>
      <name val="Arial"/>
      <color rgb="00D97706"/>
      <sz val="10"/>
    </font>
    <font>
      <name val="Arial"/>
      <color rgb="0010B981"/>
      <sz val="10"/>
    </font>
    <font>
      <name val="Arial"/>
      <color rgb="008B5CF6"/>
      <sz val="10"/>
    </font>
    <font>
      <name val="Arial"/>
      <color rgb="00F59E0B"/>
      <sz val="10"/>
    </font>
    <font>
      <name val="Arial"/>
      <color rgb="00EF4444"/>
      <sz val="10"/>
    </font>
    <font>
      <name val="Arial"/>
      <color rgb="00EC4899"/>
      <sz val="10"/>
    </font>
    <font>
      <name val="Arial"/>
      <i val="1"/>
      <color rgb="00D97706"/>
      <sz val="9"/>
    </font>
    <font>
      <name val="Arial"/>
      <b val="1"/>
      <color rgb="005B21B6"/>
      <sz val="9"/>
    </font>
    <font>
      <name val="Arial"/>
      <b val="1"/>
      <color rgb="00D97706"/>
      <sz val="9"/>
    </font>
    <font>
      <name val="Arial"/>
      <b val="1"/>
      <color rgb="0010B981"/>
      <sz val="9"/>
    </font>
    <font>
      <name val="Arial"/>
      <b val="1"/>
      <color rgb="009CA3AF"/>
      <sz val="9"/>
    </font>
    <font>
      <name val="Arial"/>
      <b val="1"/>
      <color rgb="000EA5E9"/>
      <sz val="10"/>
    </font>
    <font>
      <name val="Arial"/>
      <b val="1"/>
      <color rgb="00D97706"/>
      <sz val="11"/>
    </font>
    <font>
      <name val="Arial"/>
      <b val="1"/>
      <color rgb="0010B981"/>
      <sz val="11"/>
    </font>
    <font>
      <name val="Arial"/>
      <color rgb="009CA3AF"/>
      <sz val="13"/>
    </font>
    <font>
      <name val="Arial"/>
      <b val="1"/>
      <color rgb="0010B981"/>
      <sz val="10"/>
    </font>
    <font>
      <name val="Arial"/>
      <b val="1"/>
      <color rgb="008B5CF6"/>
      <sz val="10"/>
    </font>
    <font>
      <name val="Arial"/>
      <b val="1"/>
      <color rgb="00F59E0B"/>
      <sz val="10"/>
    </font>
    <font>
      <name val="Arial"/>
      <b val="1"/>
      <color rgb="00EF4444"/>
      <sz val="10"/>
    </font>
    <font>
      <name val="Arial"/>
      <b val="1"/>
      <color rgb="00EC4899"/>
      <sz val="10"/>
    </font>
    <font>
      <name val="Arial"/>
      <b val="1"/>
      <color rgb="00D97706"/>
      <sz val="10"/>
    </font>
    <font>
      <name val="Arial"/>
      <b val="1"/>
      <color rgb="00FFFFFF"/>
      <sz val="9"/>
    </font>
    <font>
      <name val="Arial"/>
      <sz val="52"/>
    </font>
    <font>
      <name val="Arial"/>
      <b val="1"/>
      <color rgb="005B21B6"/>
      <sz val="16"/>
    </font>
    <font>
      <name val="Arial"/>
      <b val="1"/>
      <color rgb="005B21B6"/>
      <sz val="8"/>
    </font>
    <font>
      <name val="Arial"/>
      <b val="1"/>
      <color rgb="00D97706"/>
      <sz val="20"/>
    </font>
    <font>
      <name val="Arial"/>
      <color rgb="004B5563"/>
      <sz val="8"/>
    </font>
    <font>
      <name val="Arial"/>
      <b val="1"/>
      <color rgb="005B21B6"/>
      <sz val="14"/>
    </font>
    <font>
      <name val="Courier New"/>
      <color rgb="007C3AED"/>
      <sz val="11"/>
    </font>
    <font>
      <name val="Arial"/>
      <i val="1"/>
      <color rgb="007C3AED"/>
      <sz val="9"/>
    </font>
    <font>
      <name val="Arial"/>
      <b val="1"/>
      <color rgb="005B21B6"/>
      <sz val="10"/>
    </font>
    <font>
      <name val="Arial"/>
      <b val="1"/>
      <color rgb="006B7280"/>
      <sz val="10"/>
    </font>
    <font>
      <name val="Arial"/>
      <color rgb="006B7280"/>
      <sz val="9"/>
    </font>
    <font>
      <name val="Arial"/>
      <b val="1"/>
      <color rgb="0016A34A"/>
      <sz val="10"/>
    </font>
    <font>
      <name val="Arial"/>
      <color rgb="0016A34A"/>
      <sz val="9"/>
    </font>
    <font>
      <name val="Arial"/>
      <b val="1"/>
      <color rgb="002563EB"/>
      <sz val="10"/>
    </font>
    <font>
      <name val="Arial"/>
      <color rgb="002563EB"/>
      <sz val="9"/>
    </font>
    <font>
      <name val="Arial"/>
      <b val="1"/>
      <color rgb="007C3AED"/>
      <sz val="10"/>
    </font>
    <font>
      <name val="Arial"/>
      <color rgb="007C3AED"/>
      <sz val="9"/>
    </font>
    <font>
      <name val="Arial"/>
      <color rgb="00D97706"/>
      <sz val="9"/>
    </font>
    <font>
      <name val="Arial"/>
      <b val="1"/>
      <color rgb="00DC2626"/>
      <sz val="10"/>
    </font>
    <font>
      <name val="Arial"/>
      <color rgb="00DC2626"/>
      <sz val="9"/>
    </font>
    <font>
      <name val="Arial"/>
      <color rgb="00111827"/>
      <sz val="10"/>
    </font>
    <font>
      <name val="Arial"/>
      <color rgb="007C3AED"/>
      <sz val="10"/>
    </font>
    <font>
      <name val="Arial"/>
      <b val="1"/>
      <color rgb="00D97706"/>
      <sz val="13"/>
    </font>
    <font>
      <name val="Arial"/>
      <color rgb="009CA3AF"/>
      <sz val="10"/>
    </font>
    <font>
      <name val="Arial"/>
      <b val="1"/>
      <color rgb="00D97706"/>
      <sz val="8"/>
    </font>
    <font>
      <name val="Arial"/>
      <b val="1"/>
      <color rgb="00D97706"/>
      <sz val="26"/>
    </font>
    <font>
      <name val="Arial"/>
      <b val="1"/>
      <color rgb="005B21B6"/>
      <sz val="26"/>
    </font>
    <font>
      <name val="Arial"/>
      <b val="1"/>
      <color rgb="0010B981"/>
      <sz val="8"/>
    </font>
    <font>
      <name val="Arial"/>
      <b val="1"/>
      <color rgb="0010B981"/>
      <sz val="26"/>
    </font>
    <font>
      <name val="Arial"/>
      <b val="1"/>
      <color rgb="008B5CF6"/>
      <sz val="8"/>
    </font>
    <font>
      <name val="Arial"/>
      <b val="1"/>
      <color rgb="008B5CF6"/>
      <sz val="26"/>
    </font>
    <font>
      <name val="Arial"/>
      <sz val="42"/>
    </font>
    <font>
      <name val="Arial"/>
      <b val="1"/>
      <color rgb="005B21B6"/>
      <sz val="13"/>
    </font>
    <font>
      <name val="Courier New"/>
      <color rgb="007C3AED"/>
      <sz val="10"/>
    </font>
    <font>
      <name val="Arial"/>
      <color rgb="004B5563"/>
      <sz val="9"/>
    </font>
    <font>
      <name val="Arial"/>
      <sz val="13"/>
    </font>
    <font>
      <name val="Courier New"/>
      <color rgb="000EA5E9"/>
      <sz val="9"/>
    </font>
    <font>
      <name val="Courier New"/>
      <color rgb="0010B981"/>
      <sz val="9"/>
    </font>
    <font>
      <name val="Courier New"/>
      <color rgb="008B5CF6"/>
      <sz val="9"/>
    </font>
    <font>
      <name val="Courier New"/>
      <color rgb="00F59E0B"/>
      <sz val="9"/>
    </font>
    <font>
      <name val="Courier New"/>
      <color rgb="00EF4444"/>
      <sz val="9"/>
    </font>
    <font>
      <name val="Courier New"/>
      <color rgb="00EC4899"/>
      <sz val="9"/>
    </font>
    <font>
      <name val="Arial"/>
      <i val="1"/>
      <color rgb="005B21B6"/>
      <sz val="11"/>
    </font>
    <font>
      <name val="Arial"/>
      <b val="1"/>
      <color rgb="004B5563"/>
      <sz val="8"/>
    </font>
    <font>
      <name val="Arial"/>
      <color rgb="009CA3AF"/>
      <sz val="8"/>
    </font>
    <font>
      <name val="Arial"/>
      <color rgb="009CA3AF"/>
      <sz val="7"/>
    </font>
    <font>
      <name val="Arial"/>
      <color rgb="00FFFFFF"/>
      <sz val="7"/>
    </font>
    <font>
      <name val="Arial"/>
      <color rgb="004B5563"/>
      <sz val="7"/>
    </font>
    <font>
      <name val="Arial"/>
      <color rgb="005B21B6"/>
      <sz val="10"/>
    </font>
    <font>
      <name val="Arial"/>
      <b val="1"/>
      <color rgb="009CA3AF"/>
      <sz val="10"/>
    </font>
  </fonts>
  <fills count="18">
    <fill>
      <patternFill/>
    </fill>
    <fill>
      <patternFill patternType="gray125"/>
    </fill>
    <fill>
      <patternFill patternType="solid">
        <fgColor rgb="00F7F8FC"/>
      </patternFill>
    </fill>
    <fill>
      <patternFill patternType="solid">
        <fgColor rgb="00FFFFFF"/>
      </patternFill>
    </fill>
    <fill>
      <patternFill patternType="solid">
        <fgColor rgb="00F0F2F8"/>
      </patternFill>
    </fill>
    <fill>
      <patternFill patternType="solid">
        <fgColor rgb="00FEF3C7"/>
      </patternFill>
    </fill>
    <fill>
      <patternFill patternType="solid">
        <fgColor rgb="00EDE9FE"/>
      </patternFill>
    </fill>
    <fill>
      <patternFill patternType="solid">
        <fgColor rgb="00F5F3FF"/>
      </patternFill>
    </fill>
    <fill>
      <patternFill patternType="solid">
        <fgColor rgb="005B21B6"/>
      </patternFill>
    </fill>
    <fill>
      <patternFill patternType="solid">
        <fgColor rgb="00D97706"/>
      </patternFill>
    </fill>
    <fill>
      <patternFill patternType="solid">
        <fgColor rgb="00E8F5E9"/>
      </patternFill>
    </fill>
    <fill>
      <patternFill patternType="solid">
        <fgColor rgb="0010B981"/>
      </patternFill>
    </fill>
    <fill>
      <patternFill patternType="solid">
        <fgColor rgb="008B5CF6"/>
      </patternFill>
    </fill>
    <fill>
      <patternFill patternType="solid">
        <fgColor rgb="00DDD6FE"/>
      </patternFill>
    </fill>
    <fill>
      <patternFill patternType="solid">
        <fgColor rgb="007C3AED"/>
      </patternFill>
    </fill>
    <fill>
      <patternFill patternType="solid">
        <fgColor rgb="004C1D95"/>
      </patternFill>
    </fill>
    <fill>
      <patternFill patternType="solid">
        <fgColor rgb="00A78BFA"/>
      </patternFill>
    </fill>
    <fill>
      <patternFill patternType="solid">
        <fgColor rgb="00F3F4F6"/>
      </patternFill>
    </fill>
  </fills>
  <borders count="23">
    <border>
      <left/>
      <right/>
      <top/>
      <bottom/>
      <diagonal/>
    </border>
    <border>
      <left style="thick">
        <color rgb="005B21B6"/>
      </left>
      <bottom style="thin">
        <color rgb="00E5E7EB"/>
      </bottom>
    </border>
    <border>
      <top style="thin">
        <color rgb="00E5E7EB"/>
      </top>
      <bottom style="medium">
        <color rgb="005B21B6"/>
      </bottom>
    </border>
    <border>
      <bottom style="thin">
        <color rgb="00E5E7EB"/>
      </bottom>
    </border>
    <border>
      <left style="thick">
        <color rgb="00F59E0B"/>
      </left>
    </border>
    <border>
      <left style="thick">
        <color rgb="0010B981"/>
      </left>
      <bottom style="thin">
        <color rgb="00E5E7EB"/>
      </bottom>
    </border>
    <border>
      <bottom style="medium">
        <color rgb="005B21B6"/>
      </bottom>
    </border>
    <border>
      <bottom style="medium">
        <color rgb="00D97706"/>
      </bottom>
    </border>
    <border>
      <bottom style="medium">
        <color rgb="0010B981"/>
      </bottom>
    </border>
    <border>
      <bottom style="medium">
        <color rgb="00D1D5DB"/>
      </bottom>
    </border>
    <border>
      <right style="thin">
        <color rgb="00E5E7EB"/>
      </right>
      <bottom style="thin">
        <color rgb="00E5E7EB"/>
      </bottom>
    </border>
    <border>
      <left style="thin">
        <color rgb="00E5E7EB"/>
      </left>
      <right style="thin">
        <color rgb="00E5E7EB"/>
      </right>
      <top style="thin">
        <color rgb="00E5E7EB"/>
      </top>
      <bottom style="thin">
        <color rgb="00E5E7EB"/>
      </bottom>
    </border>
    <border>
      <top style="medium">
        <color rgb="00F59E0B"/>
      </top>
    </border>
    <border>
      <left style="thick">
        <color rgb="00F59E0B"/>
      </left>
      <bottom style="thin">
        <color rgb="00E5E7EB"/>
      </bottom>
    </border>
    <border>
      <left style="thick">
        <color rgb="005B21B6"/>
      </left>
      <bottom style="thin">
        <color rgb="00D1D5DB"/>
      </bottom>
    </border>
    <border>
      <left style="thick">
        <color rgb="00F59E0B"/>
      </left>
      <bottom style="thin">
        <color rgb="00D1D5DB"/>
      </bottom>
    </border>
    <border>
      <top style="thin">
        <color rgb="00E5E7EB"/>
      </top>
      <bottom style="medium">
        <color rgb="00F59E0B"/>
      </bottom>
    </border>
    <border>
      <left style="thick">
        <color rgb="0010B981"/>
      </left>
      <bottom style="thin">
        <color rgb="00D1D5DB"/>
      </bottom>
    </border>
    <border>
      <top style="thin">
        <color rgb="00E5E7EB"/>
      </top>
      <bottom style="medium">
        <color rgb="0010B981"/>
      </bottom>
    </border>
    <border>
      <bottom style="medium">
        <color rgb="008B5CF6"/>
      </bottom>
    </border>
    <border>
      <left style="thick">
        <color rgb="005B21B6"/>
      </left>
    </border>
    <border>
      <left style="thin">
        <color rgb="00F59E0B"/>
      </left>
      <right style="thin">
        <color rgb="00F59E0B"/>
      </right>
      <top style="thin">
        <color rgb="00F59E0B"/>
      </top>
      <bottom style="thin">
        <color rgb="00F59E0B"/>
      </bottom>
    </border>
    <border>
      <top style="medium">
        <color rgb="005B21B6"/>
      </top>
    </border>
  </borders>
  <cellStyleXfs count="1">
    <xf numFmtId="0" fontId="0" fillId="0" borderId="0"/>
  </cellStyleXfs>
  <cellXfs count="156">
    <xf numFmtId="0" fontId="0" fillId="0" borderId="0" pivotButton="0" quotePrefix="0" xfId="0"/>
    <xf numFmtId="0" fontId="1" fillId="3" borderId="1" applyAlignment="1" pivotButton="0" quotePrefix="0" xfId="0">
      <alignment horizontal="left" vertical="center"/>
    </xf>
    <xf numFmtId="0" fontId="0" fillId="2" borderId="0" pivotButton="0" quotePrefix="0" xfId="0"/>
    <xf numFmtId="0" fontId="2" fillId="4" borderId="1" applyAlignment="1" pivotButton="0" quotePrefix="0" xfId="0">
      <alignment horizontal="left" vertical="center"/>
    </xf>
    <xf numFmtId="0" fontId="0" fillId="9" borderId="0" pivotButton="0" quotePrefix="0" xfId="0"/>
    <xf numFmtId="0" fontId="0" fillId="8" borderId="0" pivotButton="0" quotePrefix="0" xfId="0"/>
    <xf numFmtId="0" fontId="0" fillId="11" borderId="0" pivotButton="0" quotePrefix="0" xfId="0"/>
    <xf numFmtId="0" fontId="0" fillId="12" borderId="0" pivotButton="0" quotePrefix="0" xfId="0"/>
    <xf numFmtId="0" fontId="52" fillId="5" borderId="0" applyAlignment="1" pivotButton="0" quotePrefix="0" xfId="0">
      <alignment horizontal="center" vertical="center"/>
    </xf>
    <xf numFmtId="0" fontId="30" fillId="6" borderId="0" applyAlignment="1" pivotButton="0" quotePrefix="0" xfId="0">
      <alignment horizontal="center" vertical="center"/>
    </xf>
    <xf numFmtId="0" fontId="55" fillId="10" borderId="0" applyAlignment="1" pivotButton="0" quotePrefix="0" xfId="0">
      <alignment horizontal="center" vertical="center"/>
    </xf>
    <xf numFmtId="0" fontId="57" fillId="6" borderId="0" applyAlignment="1" pivotButton="0" quotePrefix="0" xfId="0">
      <alignment horizontal="center" vertical="center"/>
    </xf>
    <xf numFmtId="0" fontId="53" fillId="5" borderId="0" applyAlignment="1" pivotButton="0" quotePrefix="0" xfId="0">
      <alignment horizontal="center" vertical="center"/>
    </xf>
    <xf numFmtId="0" fontId="54" fillId="6" borderId="0" applyAlignment="1" pivotButton="0" quotePrefix="0" xfId="0">
      <alignment horizontal="center" vertical="center"/>
    </xf>
    <xf numFmtId="0" fontId="56" fillId="10" borderId="0" applyAlignment="1" pivotButton="0" quotePrefix="0" xfId="0">
      <alignment horizontal="center" vertical="center"/>
    </xf>
    <xf numFmtId="9" fontId="58" fillId="6" borderId="0" applyAlignment="1" pivotButton="0" quotePrefix="0" xfId="0">
      <alignment horizontal="center" vertical="center"/>
    </xf>
    <xf numFmtId="0" fontId="0" fillId="5" borderId="7" pivotButton="0" quotePrefix="0" xfId="0"/>
    <xf numFmtId="0" fontId="0" fillId="6" borderId="6" pivotButton="0" quotePrefix="0" xfId="0"/>
    <xf numFmtId="0" fontId="0" fillId="2" borderId="6" pivotButton="0" quotePrefix="0" xfId="0"/>
    <xf numFmtId="0" fontId="0" fillId="10" borderId="8" pivotButton="0" quotePrefix="0" xfId="0"/>
    <xf numFmtId="0" fontId="0" fillId="2" borderId="8" pivotButton="0" quotePrefix="0" xfId="0"/>
    <xf numFmtId="0" fontId="0" fillId="6" borderId="19" pivotButton="0" quotePrefix="0" xfId="0"/>
    <xf numFmtId="0" fontId="36" fillId="4" borderId="14" applyAlignment="1" pivotButton="0" quotePrefix="0" xfId="0">
      <alignment horizontal="left" vertical="center"/>
    </xf>
    <xf numFmtId="0" fontId="59" fillId="6" borderId="0" applyAlignment="1" pivotButton="0" quotePrefix="0" xfId="0">
      <alignment horizontal="center" vertical="center"/>
    </xf>
    <xf numFmtId="0" fontId="60" fillId="6" borderId="0" applyAlignment="1" pivotButton="0" quotePrefix="0" xfId="0">
      <alignment horizontal="center" vertical="center"/>
    </xf>
    <xf numFmtId="0" fontId="44" fillId="6" borderId="0" applyAlignment="1" pivotButton="0" quotePrefix="0" xfId="0">
      <alignment horizontal="center" vertical="center"/>
    </xf>
    <xf numFmtId="0" fontId="61" fillId="6" borderId="6" applyAlignment="1" pivotButton="0" quotePrefix="0" xfId="0">
      <alignment horizontal="center" vertical="center"/>
    </xf>
    <xf numFmtId="0" fontId="0" fillId="0" borderId="6" pivotButton="0" quotePrefix="0" xfId="0"/>
    <xf numFmtId="0" fontId="21" fillId="4" borderId="17" applyAlignment="1" pivotButton="0" quotePrefix="0" xfId="0">
      <alignment horizontal="left" vertical="center"/>
    </xf>
    <xf numFmtId="0" fontId="3" fillId="4" borderId="18" applyAlignment="1" pivotButton="0" quotePrefix="0" xfId="0">
      <alignment horizontal="center" vertical="center"/>
    </xf>
    <xf numFmtId="0" fontId="17" fillId="3" borderId="3" pivotButton="0" quotePrefix="0" xfId="0"/>
    <xf numFmtId="0" fontId="62" fillId="3" borderId="3" applyAlignment="1" pivotButton="0" quotePrefix="0" xfId="0">
      <alignment horizontal="center" vertical="center"/>
    </xf>
    <xf numFmtId="0" fontId="26" fillId="5" borderId="3" applyAlignment="1" pivotButton="0" quotePrefix="0" xfId="0">
      <alignment horizontal="center" vertical="center"/>
    </xf>
    <xf numFmtId="0" fontId="63" fillId="3" borderId="3" applyAlignment="1" pivotButton="0" quotePrefix="0" xfId="0">
      <alignment horizontal="center" vertical="center"/>
    </xf>
    <xf numFmtId="0" fontId="19" fillId="3" borderId="3" applyAlignment="1" pivotButton="0" quotePrefix="0" xfId="0">
      <alignment horizontal="center" vertical="center"/>
    </xf>
    <xf numFmtId="0" fontId="64" fillId="3" borderId="3" applyAlignment="1" pivotButton="0" quotePrefix="0" xfId="0">
      <alignment horizontal="left" vertical="center"/>
    </xf>
    <xf numFmtId="0" fontId="21" fillId="4" borderId="3" pivotButton="0" quotePrefix="0" xfId="0"/>
    <xf numFmtId="0" fontId="62" fillId="4" borderId="3" applyAlignment="1" pivotButton="0" quotePrefix="0" xfId="0">
      <alignment horizontal="center" vertical="center"/>
    </xf>
    <xf numFmtId="0" fontId="63" fillId="4" borderId="3" applyAlignment="1" pivotButton="0" quotePrefix="0" xfId="0">
      <alignment horizontal="center" vertical="center"/>
    </xf>
    <xf numFmtId="0" fontId="19" fillId="4" borderId="3" applyAlignment="1" pivotButton="0" quotePrefix="0" xfId="0">
      <alignment horizontal="center" vertical="center"/>
    </xf>
    <xf numFmtId="0" fontId="65" fillId="4" borderId="3" applyAlignment="1" pivotButton="0" quotePrefix="0" xfId="0">
      <alignment horizontal="left" vertical="center"/>
    </xf>
    <xf numFmtId="0" fontId="22" fillId="3" borderId="3" pivotButton="0" quotePrefix="0" xfId="0"/>
    <xf numFmtId="0" fontId="66" fillId="3" borderId="3" applyAlignment="1" pivotButton="0" quotePrefix="0" xfId="0">
      <alignment horizontal="left" vertical="center"/>
    </xf>
    <xf numFmtId="0" fontId="23" fillId="4" borderId="3" pivotButton="0" quotePrefix="0" xfId="0"/>
    <xf numFmtId="0" fontId="67" fillId="4" borderId="3" applyAlignment="1" pivotButton="0" quotePrefix="0" xfId="0">
      <alignment horizontal="left" vertical="center"/>
    </xf>
    <xf numFmtId="0" fontId="22" fillId="4" borderId="3" pivotButton="0" quotePrefix="0" xfId="0"/>
    <xf numFmtId="0" fontId="66" fillId="4" borderId="3" applyAlignment="1" pivotButton="0" quotePrefix="0" xfId="0">
      <alignment horizontal="left" vertical="center"/>
    </xf>
    <xf numFmtId="0" fontId="21" fillId="3" borderId="3" pivotButton="0" quotePrefix="0" xfId="0"/>
    <xf numFmtId="0" fontId="65" fillId="3" borderId="3" applyAlignment="1" pivotButton="0" quotePrefix="0" xfId="0">
      <alignment horizontal="left" vertical="center"/>
    </xf>
    <xf numFmtId="0" fontId="17" fillId="4" borderId="3" pivotButton="0" quotePrefix="0" xfId="0"/>
    <xf numFmtId="0" fontId="64" fillId="4" borderId="3" applyAlignment="1" pivotButton="0" quotePrefix="0" xfId="0">
      <alignment horizontal="left" vertical="center"/>
    </xf>
    <xf numFmtId="0" fontId="24" fillId="3" borderId="3" pivotButton="0" quotePrefix="0" xfId="0"/>
    <xf numFmtId="0" fontId="68" fillId="3" borderId="3" applyAlignment="1" pivotButton="0" quotePrefix="0" xfId="0">
      <alignment horizontal="left" vertical="center"/>
    </xf>
    <xf numFmtId="0" fontId="25" fillId="4" borderId="3" pivotButton="0" quotePrefix="0" xfId="0"/>
    <xf numFmtId="0" fontId="69" fillId="4" borderId="3" applyAlignment="1" pivotButton="0" quotePrefix="0" xfId="0">
      <alignment horizontal="left" vertical="center"/>
    </xf>
    <xf numFmtId="0" fontId="70" fillId="6" borderId="20" applyAlignment="1" pivotButton="0" quotePrefix="0" xfId="0">
      <alignment horizontal="center" vertical="center" wrapText="1"/>
    </xf>
    <xf numFmtId="0" fontId="3" fillId="4" borderId="2" applyAlignment="1" pivotButton="0" quotePrefix="0" xfId="0">
      <alignment horizontal="center" vertical="center"/>
    </xf>
    <xf numFmtId="0" fontId="4" fillId="4" borderId="3" applyAlignment="1" pivotButton="0" quotePrefix="0" xfId="0">
      <alignment horizontal="center" vertical="center"/>
    </xf>
    <xf numFmtId="0" fontId="5" fillId="4" borderId="3" applyAlignment="1" pivotButton="0" quotePrefix="0" xfId="0">
      <alignment horizontal="left" vertical="center"/>
    </xf>
    <xf numFmtId="0" fontId="6" fillId="4" borderId="3" applyAlignment="1" pivotButton="0" quotePrefix="0" xfId="0">
      <alignment horizontal="center" vertical="center"/>
    </xf>
    <xf numFmtId="0" fontId="4" fillId="4" borderId="3" applyAlignment="1" pivotButton="0" quotePrefix="0" xfId="0">
      <alignment horizontal="left" vertical="center"/>
    </xf>
    <xf numFmtId="0" fontId="4" fillId="3" borderId="3" applyAlignment="1" pivotButton="0" quotePrefix="0" xfId="0">
      <alignment horizontal="center" vertical="center"/>
    </xf>
    <xf numFmtId="0" fontId="7" fillId="3" borderId="3" applyAlignment="1" pivotButton="0" quotePrefix="0" xfId="0">
      <alignment horizontal="left" vertical="center"/>
    </xf>
    <xf numFmtId="0" fontId="6" fillId="3" borderId="3" applyAlignment="1" pivotButton="0" quotePrefix="0" xfId="0">
      <alignment horizontal="center" vertical="center"/>
    </xf>
    <xf numFmtId="0" fontId="4" fillId="3" borderId="3" applyAlignment="1" pivotButton="0" quotePrefix="0" xfId="0">
      <alignment horizontal="left" vertical="center"/>
    </xf>
    <xf numFmtId="0" fontId="8" fillId="4" borderId="3" applyAlignment="1" pivotButton="0" quotePrefix="0" xfId="0">
      <alignment horizontal="left" vertical="center"/>
    </xf>
    <xf numFmtId="0" fontId="9" fillId="3" borderId="3" applyAlignment="1" pivotButton="0" quotePrefix="0" xfId="0">
      <alignment horizontal="left" vertical="center"/>
    </xf>
    <xf numFmtId="0" fontId="8" fillId="3" borderId="3" applyAlignment="1" pivotButton="0" quotePrefix="0" xfId="0">
      <alignment horizontal="left" vertical="center"/>
    </xf>
    <xf numFmtId="0" fontId="7" fillId="4" borderId="3" applyAlignment="1" pivotButton="0" quotePrefix="0" xfId="0">
      <alignment horizontal="left" vertical="center"/>
    </xf>
    <xf numFmtId="0" fontId="5" fillId="3" borderId="3" applyAlignment="1" pivotButton="0" quotePrefix="0" xfId="0">
      <alignment horizontal="left" vertical="center"/>
    </xf>
    <xf numFmtId="0" fontId="10" fillId="4" borderId="3" applyAlignment="1" pivotButton="0" quotePrefix="0" xfId="0">
      <alignment horizontal="left" vertical="center"/>
    </xf>
    <xf numFmtId="0" fontId="11" fillId="3" borderId="3" applyAlignment="1" pivotButton="0" quotePrefix="0" xfId="0">
      <alignment horizontal="left" vertical="center"/>
    </xf>
    <xf numFmtId="0" fontId="12" fillId="5" borderId="4" applyAlignment="1" pivotButton="0" quotePrefix="0" xfId="0">
      <alignment horizontal="center" vertical="center"/>
    </xf>
    <xf numFmtId="0" fontId="1" fillId="3" borderId="5" applyAlignment="1" pivotButton="0" quotePrefix="0" xfId="0">
      <alignment horizontal="left" vertical="center"/>
    </xf>
    <xf numFmtId="0" fontId="2" fillId="4" borderId="5" applyAlignment="1" pivotButton="0" quotePrefix="0" xfId="0">
      <alignment horizontal="left" vertical="center"/>
    </xf>
    <xf numFmtId="0" fontId="13" fillId="4" borderId="6" applyAlignment="1" pivotButton="0" quotePrefix="0" xfId="0">
      <alignment horizontal="center" vertical="center"/>
    </xf>
    <xf numFmtId="0" fontId="14" fillId="5" borderId="7" applyAlignment="1" pivotButton="0" quotePrefix="0" xfId="0">
      <alignment horizontal="center" vertical="center"/>
    </xf>
    <xf numFmtId="0" fontId="15" fillId="4" borderId="8" applyAlignment="1" pivotButton="0" quotePrefix="0" xfId="0">
      <alignment horizontal="center" vertical="center"/>
    </xf>
    <xf numFmtId="0" fontId="3" fillId="4" borderId="9" applyAlignment="1" pivotButton="0" quotePrefix="0" xfId="0">
      <alignment horizontal="center" vertical="center" wrapText="1"/>
    </xf>
    <xf numFmtId="0" fontId="16" fillId="4" borderId="9" applyAlignment="1" pivotButton="0" quotePrefix="0" xfId="0">
      <alignment horizontal="center" vertical="center" wrapText="1"/>
    </xf>
    <xf numFmtId="0" fontId="13" fillId="6" borderId="6" applyAlignment="1" pivotButton="0" quotePrefix="0" xfId="0">
      <alignment horizontal="center" vertical="center" wrapText="1"/>
    </xf>
    <xf numFmtId="0" fontId="17" fillId="4" borderId="10" pivotButton="0" quotePrefix="0" xfId="0"/>
    <xf numFmtId="0" fontId="18" fillId="5" borderId="3" applyAlignment="1" pivotButton="0" quotePrefix="0" xfId="0">
      <alignment horizontal="center" vertical="center"/>
    </xf>
    <xf numFmtId="0" fontId="20" fillId="4" borderId="11" applyAlignment="1" pivotButton="0" quotePrefix="0" xfId="0">
      <alignment horizontal="center" vertical="center"/>
    </xf>
    <xf numFmtId="0" fontId="20" fillId="7" borderId="11" applyAlignment="1" pivotButton="0" quotePrefix="0" xfId="0">
      <alignment horizontal="center" vertical="center"/>
    </xf>
    <xf numFmtId="0" fontId="21" fillId="3" borderId="10" pivotButton="0" quotePrefix="0" xfId="0"/>
    <xf numFmtId="0" fontId="20" fillId="3" borderId="11" applyAlignment="1" pivotButton="0" quotePrefix="0" xfId="0">
      <alignment horizontal="center" vertical="center"/>
    </xf>
    <xf numFmtId="0" fontId="22" fillId="4" borderId="10" pivotButton="0" quotePrefix="0" xfId="0"/>
    <xf numFmtId="0" fontId="23" fillId="3" borderId="10" pivotButton="0" quotePrefix="0" xfId="0"/>
    <xf numFmtId="0" fontId="22" fillId="3" borderId="10" pivotButton="0" quotePrefix="0" xfId="0"/>
    <xf numFmtId="0" fontId="21" fillId="4" borderId="10" pivotButton="0" quotePrefix="0" xfId="0"/>
    <xf numFmtId="0" fontId="17" fillId="3" borderId="10" pivotButton="0" quotePrefix="0" xfId="0"/>
    <xf numFmtId="0" fontId="24" fillId="4" borderId="10" pivotButton="0" quotePrefix="0" xfId="0"/>
    <xf numFmtId="0" fontId="25" fillId="3" borderId="10" pivotButton="0" quotePrefix="0" xfId="0"/>
    <xf numFmtId="0" fontId="26" fillId="5" borderId="12" pivotButton="0" quotePrefix="0" xfId="0"/>
    <xf numFmtId="0" fontId="18" fillId="5" borderId="12" applyAlignment="1" pivotButton="0" quotePrefix="0" xfId="0">
      <alignment horizontal="center" vertical="center"/>
    </xf>
    <xf numFmtId="0" fontId="1" fillId="3" borderId="13" applyAlignment="1" pivotButton="0" quotePrefix="0" xfId="0">
      <alignment horizontal="left" vertical="center"/>
    </xf>
    <xf numFmtId="0" fontId="2" fillId="4" borderId="13" applyAlignment="1" pivotButton="0" quotePrefix="0" xfId="0">
      <alignment horizontal="left" vertical="center"/>
    </xf>
    <xf numFmtId="0" fontId="27" fillId="8" borderId="0" applyAlignment="1" pivotButton="0" quotePrefix="0" xfId="0">
      <alignment horizontal="center" vertical="center"/>
    </xf>
    <xf numFmtId="0" fontId="28" fillId="6" borderId="0" applyAlignment="1" pivotButton="0" quotePrefix="0" xfId="0">
      <alignment horizontal="center" vertical="center"/>
    </xf>
    <xf numFmtId="0" fontId="37" fillId="3" borderId="3" applyAlignment="1" pivotButton="0" quotePrefix="0" xfId="0">
      <alignment horizontal="center" vertical="center"/>
    </xf>
    <xf numFmtId="0" fontId="38" fillId="3" borderId="3" applyAlignment="1" pivotButton="0" quotePrefix="0" xfId="0">
      <alignment horizontal="center" vertical="center"/>
    </xf>
    <xf numFmtId="0" fontId="39" fillId="4" borderId="3" applyAlignment="1" pivotButton="0" quotePrefix="0" xfId="0">
      <alignment horizontal="center" vertical="center"/>
    </xf>
    <xf numFmtId="0" fontId="40" fillId="4" borderId="3" applyAlignment="1" pivotButton="0" quotePrefix="0" xfId="0">
      <alignment horizontal="center" vertical="center"/>
    </xf>
    <xf numFmtId="0" fontId="41" fillId="3" borderId="3" applyAlignment="1" pivotButton="0" quotePrefix="0" xfId="0">
      <alignment horizontal="center" vertical="center"/>
    </xf>
    <xf numFmtId="0" fontId="42" fillId="3" borderId="3" applyAlignment="1" pivotButton="0" quotePrefix="0" xfId="0">
      <alignment horizontal="center" vertical="center"/>
    </xf>
    <xf numFmtId="0" fontId="43" fillId="4" borderId="3" applyAlignment="1" pivotButton="0" quotePrefix="0" xfId="0">
      <alignment horizontal="center" vertical="center"/>
    </xf>
    <xf numFmtId="0" fontId="44" fillId="4" borderId="3" applyAlignment="1" pivotButton="0" quotePrefix="0" xfId="0">
      <alignment horizontal="center" vertical="center"/>
    </xf>
    <xf numFmtId="0" fontId="26" fillId="3" borderId="3" applyAlignment="1" pivotButton="0" quotePrefix="0" xfId="0">
      <alignment horizontal="center" vertical="center"/>
    </xf>
    <xf numFmtId="0" fontId="45" fillId="3" borderId="3" applyAlignment="1" pivotButton="0" quotePrefix="0" xfId="0">
      <alignment horizontal="center" vertical="center"/>
    </xf>
    <xf numFmtId="0" fontId="29" fillId="6" borderId="0" applyAlignment="1" pivotButton="0" quotePrefix="0" xfId="0">
      <alignment horizontal="center" vertical="center"/>
    </xf>
    <xf numFmtId="0" fontId="46" fillId="4" borderId="3" applyAlignment="1" pivotButton="0" quotePrefix="0" xfId="0">
      <alignment horizontal="center" vertical="center"/>
    </xf>
    <xf numFmtId="0" fontId="47" fillId="4" borderId="3" applyAlignment="1" pivotButton="0" quotePrefix="0" xfId="0">
      <alignment horizontal="center" vertical="center"/>
    </xf>
    <xf numFmtId="0" fontId="31" fillId="5"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35" fillId="6" borderId="0" applyAlignment="1" pivotButton="0" quotePrefix="0" xfId="0">
      <alignment horizontal="center" vertical="center"/>
    </xf>
    <xf numFmtId="0" fontId="23" fillId="4" borderId="15" applyAlignment="1" pivotButton="0" quotePrefix="0" xfId="0">
      <alignment horizontal="left" vertical="center"/>
    </xf>
    <xf numFmtId="0" fontId="3" fillId="4" borderId="16" applyAlignment="1" pivotButton="0" quotePrefix="0" xfId="0">
      <alignment horizontal="center" vertical="center"/>
    </xf>
    <xf numFmtId="0" fontId="48" fillId="3" borderId="3" applyAlignment="1" pivotButton="0" quotePrefix="0" xfId="0">
      <alignment horizontal="center" vertical="center"/>
    </xf>
    <xf numFmtId="9" fontId="49" fillId="3" borderId="3" applyAlignment="1" pivotButton="0" quotePrefix="0" xfId="0">
      <alignment horizontal="center" vertical="center"/>
    </xf>
    <xf numFmtId="0" fontId="48" fillId="4" borderId="3" applyAlignment="1" pivotButton="0" quotePrefix="0" xfId="0">
      <alignment horizontal="center" vertical="center"/>
    </xf>
    <xf numFmtId="9" fontId="49" fillId="4" borderId="3" applyAlignment="1" pivotButton="0" quotePrefix="0" xfId="0">
      <alignment horizontal="center" vertical="center"/>
    </xf>
    <xf numFmtId="0" fontId="50" fillId="5" borderId="12" applyAlignment="1" pivotButton="0" quotePrefix="0" xfId="0">
      <alignment horizontal="center" vertical="center"/>
    </xf>
    <xf numFmtId="0" fontId="4" fillId="3" borderId="3" pivotButton="0" quotePrefix="0" xfId="0"/>
    <xf numFmtId="0" fontId="7" fillId="3" borderId="3" applyAlignment="1" pivotButton="0" quotePrefix="0" xfId="0">
      <alignment horizontal="center" vertical="center"/>
    </xf>
    <xf numFmtId="0" fontId="36" fillId="6" borderId="3" applyAlignment="1" pivotButton="0" quotePrefix="0" xfId="0">
      <alignment horizontal="center" vertical="center"/>
    </xf>
    <xf numFmtId="0" fontId="4" fillId="4" borderId="3" pivotButton="0" quotePrefix="0" xfId="0"/>
    <xf numFmtId="0" fontId="7" fillId="4" borderId="3" applyAlignment="1" pivotButton="0" quotePrefix="0" xfId="0">
      <alignment horizontal="center" vertical="center"/>
    </xf>
    <xf numFmtId="0" fontId="51" fillId="4" borderId="3" applyAlignment="1" pivotButton="0" quotePrefix="0" xfId="0">
      <alignment horizontal="center" vertical="center"/>
    </xf>
    <xf numFmtId="0" fontId="71" fillId="2" borderId="0" pivotButton="0" quotePrefix="0" xfId="0"/>
    <xf numFmtId="0" fontId="72" fillId="2" borderId="0" applyAlignment="1" pivotButton="0" quotePrefix="0" xfId="0">
      <alignment horizontal="center" vertical="center"/>
    </xf>
    <xf numFmtId="0" fontId="73" fillId="13" borderId="0" applyAlignment="1" pivotButton="0" quotePrefix="0" xfId="0">
      <alignment horizontal="center" vertical="center"/>
    </xf>
    <xf numFmtId="0" fontId="74" fillId="14" borderId="0" applyAlignment="1" pivotButton="0" quotePrefix="0" xfId="0">
      <alignment horizontal="center" vertical="center"/>
    </xf>
    <xf numFmtId="0" fontId="73" fillId="16" borderId="0" applyAlignment="1" pivotButton="0" quotePrefix="0" xfId="0">
      <alignment horizontal="center" vertical="center"/>
    </xf>
    <xf numFmtId="0" fontId="74" fillId="15" borderId="0" applyAlignment="1" pivotButton="0" quotePrefix="0" xfId="0">
      <alignment horizontal="center" vertical="center"/>
    </xf>
    <xf numFmtId="0" fontId="73" fillId="17" borderId="21" applyAlignment="1" pivotButton="0" quotePrefix="0" xfId="0">
      <alignment horizontal="center" vertical="center"/>
    </xf>
    <xf numFmtId="0" fontId="72" fillId="2" borderId="0" pivotButton="0" quotePrefix="0" xfId="0"/>
    <xf numFmtId="0" fontId="75" fillId="17" borderId="0" applyAlignment="1" pivotButton="0" quotePrefix="0" xfId="0">
      <alignment horizontal="center" vertical="center"/>
    </xf>
    <xf numFmtId="0" fontId="75" fillId="13" borderId="0" applyAlignment="1" pivotButton="0" quotePrefix="0" xfId="0">
      <alignment horizontal="center" vertical="center"/>
    </xf>
    <xf numFmtId="0" fontId="74" fillId="16" borderId="0" applyAlignment="1" pivotButton="0" quotePrefix="0" xfId="0">
      <alignment horizontal="center" vertical="center"/>
    </xf>
    <xf numFmtId="0" fontId="6" fillId="5" borderId="3" applyAlignment="1" pivotButton="0" quotePrefix="0" xfId="0">
      <alignment horizontal="center" vertical="center"/>
    </xf>
    <xf numFmtId="9" fontId="76" fillId="3" borderId="3" applyAlignment="1" pivotButton="0" quotePrefix="0" xfId="0">
      <alignment horizontal="center" vertical="center"/>
    </xf>
    <xf numFmtId="0" fontId="76" fillId="3" borderId="3" applyAlignment="1" pivotButton="0" quotePrefix="0" xfId="0">
      <alignment horizontal="center" vertical="center"/>
    </xf>
    <xf numFmtId="9" fontId="76" fillId="4" borderId="3" applyAlignment="1" pivotButton="0" quotePrefix="0" xfId="0">
      <alignment horizontal="center" vertical="center"/>
    </xf>
    <xf numFmtId="0" fontId="76" fillId="4" borderId="3" applyAlignment="1" pivotButton="0" quotePrefix="0" xfId="0">
      <alignment horizontal="center" vertical="center"/>
    </xf>
    <xf numFmtId="0" fontId="62" fillId="3" borderId="3" pivotButton="0" quotePrefix="0" xfId="0"/>
    <xf numFmtId="0" fontId="62" fillId="4" borderId="3" pivotButton="0" quotePrefix="0" xfId="0"/>
    <xf numFmtId="0" fontId="36" fillId="6" borderId="22" applyAlignment="1" pivotButton="0" quotePrefix="0" xfId="0">
      <alignment horizontal="left" vertical="center"/>
    </xf>
    <xf numFmtId="0" fontId="36" fillId="6" borderId="22" applyAlignment="1" pivotButton="0" quotePrefix="0" xfId="0">
      <alignment horizontal="center" vertical="center"/>
    </xf>
    <xf numFmtId="9" fontId="36" fillId="6" borderId="22" applyAlignment="1" pivotButton="0" quotePrefix="0" xfId="0">
      <alignment horizontal="center" vertical="center"/>
    </xf>
    <xf numFmtId="0" fontId="23" fillId="3" borderId="3" pivotButton="0" quotePrefix="0" xfId="0"/>
    <xf numFmtId="0" fontId="24" fillId="4" borderId="3" pivotButton="0" quotePrefix="0" xfId="0"/>
    <xf numFmtId="0" fontId="25" fillId="3" borderId="3" pivotButton="0" quotePrefix="0" xfId="0"/>
    <xf numFmtId="0" fontId="77" fillId="4" borderId="3" pivotButton="0" quotePrefix="0" xfId="0"/>
  </cellXfs>
  <cellStyles count="1">
    <cellStyle name="Normal" xfId="0" builtinId="0" hidden="0"/>
  </cellStyles>
  <dxfs count="5">
    <dxf>
      <font>
        <name val="Arial"/>
        <b val="1"/>
        <color rgb="00065F46"/>
        <sz val="13"/>
      </font>
      <fill>
        <patternFill patternType="solid">
          <fgColor rgb="00D1FAE5"/>
        </patternFill>
      </fill>
    </dxf>
    <dxf>
      <font>
        <name val="Arial"/>
        <b val="1"/>
        <color rgb="00991B1B"/>
        <sz val="13"/>
      </font>
      <fill>
        <patternFill patternType="solid">
          <fgColor rgb="00FEE2E2"/>
        </patternFill>
      </fill>
    </dxf>
    <dxf>
      <font>
        <name val="Arial"/>
        <color rgb="0092400E"/>
        <sz val="13"/>
      </font>
      <fill>
        <patternFill patternType="solid">
          <fgColor rgb="00FEF3C7"/>
        </patternFill>
      </fill>
    </dxf>
    <dxf>
      <font>
        <name val="Arial"/>
        <b val="1"/>
        <color rgb="00065F46"/>
        <sz val="10"/>
      </font>
      <fill>
        <patternFill patternType="solid">
          <fgColor rgb="00D1FAE5"/>
        </patternFill>
      </fill>
    </dxf>
    <dxf>
      <font>
        <name val="Arial"/>
        <color rgb="00991B1B"/>
        <sz val="10"/>
      </font>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14-Day XP Trend</a:t>
            </a:r>
          </a:p>
        </rich>
      </tx>
    </title>
    <plotArea>
      <lineChart>
        <grouping val="standard"/>
        <ser>
          <idx val="0"/>
          <order val="0"/>
          <tx>
            <strRef>
              <f>'Analytics'!B5</f>
            </strRef>
          </tx>
          <spPr>
            <a:ln xmlns:a="http://schemas.openxmlformats.org/drawingml/2006/main" w="25000">
              <a:solidFill>
                <a:srgbClr val="D97706"/>
              </a:solidFill>
              <a:prstDash val="solid"/>
            </a:ln>
          </spPr>
          <marker>
            <symbol val="none"/>
            <spPr>
              <a:ln xmlns:a="http://schemas.openxmlformats.org/drawingml/2006/main">
                <a:prstDash val="solid"/>
              </a:ln>
            </spPr>
          </marker>
          <cat>
            <numRef>
              <f>'Analytics'!$A$6:$A$19</f>
            </numRef>
          </cat>
          <val>
            <numRef>
              <f>'Analytics'!$B$6:$B$19</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XP Earned</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Weekly Total XP</a:t>
            </a:r>
          </a:p>
        </rich>
      </tx>
    </title>
    <plotArea>
      <barChart>
        <barDir val="col"/>
        <grouping val="clustered"/>
        <ser>
          <idx val="0"/>
          <order val="0"/>
          <tx>
            <strRef>
              <f>'Analytics'!I22</f>
            </strRef>
          </tx>
          <spPr>
            <a:solidFill xmlns:a="http://schemas.openxmlformats.org/drawingml/2006/main">
              <a:srgbClr val="5B21B6"/>
            </a:solidFill>
            <a:ln xmlns:a="http://schemas.openxmlformats.org/drawingml/2006/main">
              <a:prstDash val="solid"/>
            </a:ln>
          </spPr>
          <cat>
            <numRef>
              <f>'Analytics'!$A$23:$A$30</f>
            </numRef>
          </cat>
          <val>
            <numRef>
              <f>'Analytics'!$I$23:$I$30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XP</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33</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48</row>
      <rowOff>0</rowOff>
    </from>
    <ext cx="720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5B21B6"/>
    <outlinePr summaryBelow="1" summaryRight="1"/>
    <pageSetUpPr/>
  </sheetPr>
  <dimension ref="A1:Y60"/>
  <sheetViews>
    <sheetView showGridLines="0" workbookViewId="0">
      <selection activeCell="A1" sqref="A1"/>
    </sheetView>
  </sheetViews>
  <sheetFormatPr baseColWidth="8" defaultRowHeight="15"/>
  <cols>
    <col width="32" customWidth="1" min="1" max="1"/>
    <col width="14" customWidth="1" min="2" max="2"/>
    <col width="8" customWidth="1" min="3" max="3"/>
    <col width="10" customWidth="1" min="4" max="4"/>
    <col width="10" customWidth="1" min="5" max="5"/>
    <col width="32" customWidth="1" min="6" max="6"/>
    <col width="7.5" customWidth="1" min="7" max="7"/>
    <col width="7.5" customWidth="1" min="8" max="8"/>
    <col width="7.5" customWidth="1" min="9" max="9"/>
    <col width="7.5" customWidth="1" min="10" max="10"/>
    <col width="1.5" customWidth="1" min="11" max="11"/>
    <col width="7.5" customWidth="1" min="12" max="12"/>
    <col width="7.5" customWidth="1" min="13" max="13"/>
    <col width="7.5" customWidth="1" min="14" max="14"/>
    <col width="7.5" customWidth="1" min="15" max="15"/>
    <col width="1.5" customWidth="1" min="16" max="16"/>
    <col width="7.5" customWidth="1" min="17" max="17"/>
    <col width="7.5" customWidth="1" min="18" max="18"/>
    <col width="7.5" customWidth="1" min="19" max="19"/>
  </cols>
  <sheetData>
    <row r="1" ht="46" customHeight="1">
      <c r="A1" s="1" t="inlineStr">
        <is>
          <t xml:space="preserve">   Mindset Shift Stack Tracker</t>
        </is>
      </c>
      <c r="S1" s="2" t="n"/>
      <c r="T1" s="2" t="n"/>
    </row>
    <row r="2" ht="18" customHeight="1">
      <c r="A2" s="3">
        <f>TEXT(TODAY(),"dddd, mmmm d, yyyy")  ·  Keep the momentum going.</f>
        <v/>
      </c>
      <c r="S2" s="2" t="n"/>
      <c r="T2" s="2" t="n"/>
    </row>
    <row r="3" ht="10" customHeight="1">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row>
    <row r="4" ht="5" customHeight="1">
      <c r="A4" s="4" t="n"/>
      <c r="B4" s="4" t="n"/>
      <c r="C4" s="4" t="n"/>
      <c r="D4" s="4" t="n"/>
      <c r="E4" s="4" t="n"/>
      <c r="F4" s="2" t="n"/>
      <c r="G4" s="5" t="n"/>
      <c r="H4" s="5" t="n"/>
      <c r="I4" s="5" t="n"/>
      <c r="J4" s="5" t="n"/>
      <c r="K4" s="2" t="n"/>
      <c r="L4" s="6" t="n"/>
      <c r="M4" s="6" t="n"/>
      <c r="N4" s="6" t="n"/>
      <c r="O4" s="6" t="n"/>
      <c r="P4" s="2" t="n"/>
      <c r="Q4" s="7" t="n"/>
      <c r="R4" s="7" t="n"/>
      <c r="S4" s="7" t="n"/>
      <c r="T4" s="7" t="n"/>
    </row>
    <row r="5" ht="20" customHeight="1">
      <c r="A5" s="8" t="inlineStr">
        <is>
          <t>TOTAL XP ⚡</t>
        </is>
      </c>
      <c r="F5" s="2" t="n"/>
      <c r="G5" s="9" t="inlineStr">
        <is>
          <t>CURRENT LEVEL</t>
        </is>
      </c>
      <c r="K5" s="2" t="n"/>
      <c r="L5" s="10" t="inlineStr">
        <is>
          <t>DONE TODAY ✅</t>
        </is>
      </c>
      <c r="P5" s="2" t="n"/>
      <c r="Q5" s="11" t="inlineStr">
        <is>
          <t>TODAY'S RATE</t>
        </is>
      </c>
    </row>
    <row r="6" ht="28" customHeight="1">
      <c r="A6" s="12">
        <f>'XP &amp; Levels'!C13</f>
        <v/>
      </c>
      <c r="F6" s="2" t="n"/>
      <c r="G6" s="13">
        <f>'XP &amp; Levels'!D11</f>
        <v/>
      </c>
      <c r="K6" s="2" t="n"/>
      <c r="L6" s="14">
        <f>COUNTIF('Check-In'!Q5:Q16,"✅")</f>
        <v/>
      </c>
      <c r="P6" s="2" t="n"/>
      <c r="Q6" s="15">
        <f>IFERROR(COUNTIF('Check-In'!Q5:Q16,"✅")/COUNTA('Habits Setup'!B5:B16),0)</f>
        <v/>
      </c>
    </row>
    <row r="7" ht="14" customHeight="1">
      <c r="F7" s="2" t="n"/>
      <c r="K7" s="2" t="n"/>
      <c r="P7" s="2" t="n"/>
    </row>
    <row r="8" ht="14" customHeight="1">
      <c r="F8" s="2" t="n"/>
      <c r="K8" s="2" t="n"/>
      <c r="P8" s="2" t="n"/>
    </row>
    <row r="9" ht="5" customHeight="1">
      <c r="A9" s="16" t="n"/>
      <c r="B9" s="16" t="n"/>
      <c r="C9" s="16" t="n"/>
      <c r="D9" s="16" t="n"/>
      <c r="E9" s="16" t="n"/>
      <c r="F9" s="2" t="n"/>
      <c r="G9" s="17" t="n"/>
      <c r="H9" s="17" t="n"/>
      <c r="I9" s="17" t="n"/>
      <c r="J9" s="17" t="n"/>
      <c r="K9" s="18" t="n"/>
      <c r="L9" s="19" t="n"/>
      <c r="M9" s="19" t="n"/>
      <c r="N9" s="19" t="n"/>
      <c r="O9" s="19" t="n"/>
      <c r="P9" s="20" t="n"/>
      <c r="Q9" s="21" t="n"/>
      <c r="R9" s="21" t="n"/>
      <c r="S9" s="21" t="n"/>
      <c r="T9" s="21" t="n"/>
    </row>
    <row r="10" ht="10" customHeight="1">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row>
    <row r="11" ht="26" customHeight="1">
      <c r="A11" s="22" t="inlineStr">
        <is>
          <t xml:space="preserve">   Your Avatar</t>
        </is>
      </c>
      <c r="F11" s="2" t="n"/>
      <c r="G11" s="2" t="n"/>
      <c r="H11" s="2" t="n"/>
      <c r="I11" s="2" t="n"/>
      <c r="J11" s="2" t="n"/>
      <c r="K11" s="2" t="n"/>
      <c r="L11" s="2" t="n"/>
      <c r="M11" s="2" t="n"/>
      <c r="N11" s="2" t="n"/>
      <c r="O11" s="2" t="n"/>
      <c r="P11" s="2" t="n"/>
      <c r="Q11" s="2" t="n"/>
      <c r="R11" s="2" t="n"/>
      <c r="S11" s="2" t="n"/>
      <c r="T11" s="2" t="n"/>
    </row>
    <row r="12" ht="56" customHeight="1">
      <c r="A12" s="23">
        <f>IF('XP &amp; Levels'!C13&gt;=3001,"👑",IF('XP &amp; Levels'!C13&gt;=1751,"💎",IF('XP &amp; Levels'!C13&gt;=1001,"⚡",IF('XP &amp; Levels'!C13&gt;=601,"🔥",IF('XP &amp; Levels'!C13&gt;=301,"🌳",IF('XP &amp; Levels'!C13&gt;=101,"🌿","🌱"))))))</f>
        <v/>
      </c>
      <c r="F12" s="2" t="n"/>
      <c r="G12" s="2" t="n"/>
      <c r="H12" s="2" t="n"/>
      <c r="I12" s="2" t="n"/>
      <c r="J12" s="2" t="n"/>
      <c r="K12" s="2" t="n"/>
      <c r="L12" s="2" t="n"/>
      <c r="M12" s="2" t="n"/>
      <c r="N12" s="2" t="n"/>
      <c r="O12" s="2" t="n"/>
      <c r="P12" s="2" t="n"/>
      <c r="Q12" s="2" t="n"/>
      <c r="R12" s="2" t="n"/>
      <c r="S12" s="2" t="n"/>
      <c r="T12" s="2" t="n"/>
    </row>
    <row r="13" ht="10" customHeight="1">
      <c r="F13" s="2" t="n"/>
      <c r="G13" s="2" t="n"/>
      <c r="H13" s="2" t="n"/>
      <c r="I13" s="2" t="n"/>
      <c r="J13" s="2" t="n"/>
      <c r="K13" s="2" t="n"/>
      <c r="L13" s="2" t="n"/>
      <c r="M13" s="2" t="n"/>
      <c r="N13" s="2" t="n"/>
      <c r="O13" s="2" t="n"/>
      <c r="P13" s="2" t="n"/>
      <c r="Q13" s="2" t="n"/>
      <c r="R13" s="2" t="n"/>
      <c r="S13" s="2" t="n"/>
      <c r="T13" s="2" t="n"/>
    </row>
    <row r="14" ht="10" customHeight="1">
      <c r="F14" s="2" t="n"/>
      <c r="G14" s="2" t="n"/>
      <c r="H14" s="2" t="n"/>
      <c r="I14" s="2" t="n"/>
      <c r="J14" s="2" t="n"/>
      <c r="K14" s="2" t="n"/>
      <c r="L14" s="2" t="n"/>
      <c r="M14" s="2" t="n"/>
      <c r="N14" s="2" t="n"/>
      <c r="O14" s="2" t="n"/>
      <c r="P14" s="2" t="n"/>
      <c r="Q14" s="2" t="n"/>
      <c r="R14" s="2" t="n"/>
      <c r="S14" s="2" t="n"/>
      <c r="T14" s="2" t="n"/>
    </row>
    <row r="15" ht="20" customHeight="1">
      <c r="F15" s="2" t="n"/>
      <c r="G15" s="2" t="n"/>
      <c r="H15" s="2" t="n"/>
      <c r="I15" s="2" t="n"/>
      <c r="J15" s="2" t="n"/>
      <c r="K15" s="2" t="n"/>
      <c r="L15" s="2" t="n"/>
      <c r="M15" s="2" t="n"/>
      <c r="N15" s="2" t="n"/>
      <c r="O15" s="2" t="n"/>
      <c r="P15" s="2" t="n"/>
      <c r="Q15" s="2" t="n"/>
      <c r="R15" s="2" t="n"/>
      <c r="S15" s="2" t="n"/>
      <c r="T15" s="2" t="n"/>
    </row>
    <row r="16" ht="20" customHeight="1">
      <c r="A16" s="24">
        <f>'XP &amp; Levels'!D11</f>
        <v/>
      </c>
      <c r="F16" s="2" t="n"/>
      <c r="G16" s="2" t="n"/>
      <c r="H16" s="2" t="n"/>
      <c r="I16" s="2" t="n"/>
      <c r="J16" s="2" t="n"/>
      <c r="K16" s="2" t="n"/>
      <c r="L16" s="2" t="n"/>
      <c r="M16" s="2" t="n"/>
      <c r="N16" s="2" t="n"/>
      <c r="O16" s="2" t="n"/>
      <c r="P16" s="2" t="n"/>
      <c r="Q16" s="2" t="n"/>
      <c r="R16" s="2" t="n"/>
      <c r="S16" s="2" t="n"/>
      <c r="T16" s="2" t="n"/>
    </row>
    <row r="17" ht="20" customHeight="1">
      <c r="A17" s="25">
        <f>'XP &amp; Levels'!C13&amp;" XP  ·  Next: "&amp;'XP &amp; Levels'!E14&amp;" XP"</f>
        <v/>
      </c>
      <c r="F17" s="2" t="n"/>
      <c r="G17" s="2" t="n"/>
      <c r="H17" s="2" t="n"/>
      <c r="I17" s="2" t="n"/>
      <c r="J17" s="2" t="n"/>
      <c r="K17" s="2" t="n"/>
      <c r="L17" s="2" t="n"/>
      <c r="M17" s="2" t="n"/>
      <c r="N17" s="2" t="n"/>
      <c r="O17" s="2" t="n"/>
      <c r="P17" s="2" t="n"/>
      <c r="Q17" s="2" t="n"/>
      <c r="R17" s="2" t="n"/>
      <c r="S17" s="2" t="n"/>
      <c r="T17" s="2" t="n"/>
    </row>
    <row r="18" ht="22" customHeight="1">
      <c r="A18" s="26">
        <f>IF('XP &amp; Levels'!C13&gt;='XP &amp; Levels'!E14,"▓▓▓▓▓▓▓▓▓▓▓▓▓▓▓▓▓▓▓▓  MAX",REPT("▓",ROUND(MIN('XP &amp; Levels'!C13/'XP &amp; Levels'!E14,1)*20,0))&amp;REPT("░",20-ROUND(MIN('XP &amp; Levels'!C13/'XP &amp; Levels'!E14,1)*20,0))&amp;"  "&amp;TEXT(MIN('XP &amp; Levels'!C13/'XP &amp; Levels'!E14,1),"0%"))</f>
        <v/>
      </c>
      <c r="B18" s="27" t="n"/>
      <c r="C18" s="27" t="n"/>
      <c r="D18" s="27" t="n"/>
      <c r="E18" s="27" t="n"/>
      <c r="F18" s="2" t="n"/>
      <c r="G18" s="2" t="n"/>
      <c r="H18" s="2" t="n"/>
      <c r="I18" s="2" t="n"/>
      <c r="J18" s="2" t="n"/>
      <c r="K18" s="2" t="n"/>
      <c r="L18" s="2" t="n"/>
      <c r="M18" s="2" t="n"/>
      <c r="N18" s="2" t="n"/>
      <c r="O18" s="2" t="n"/>
      <c r="P18" s="2" t="n"/>
      <c r="Q18" s="2" t="n"/>
      <c r="R18" s="2" t="n"/>
      <c r="S18" s="2" t="n"/>
      <c r="T18" s="2" t="n"/>
    </row>
    <row r="19" ht="6" customHeight="1">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row>
    <row r="20" ht="26" customHeight="1">
      <c r="A20" s="28" t="inlineStr">
        <is>
          <t xml:space="preserve">   Today's Habits</t>
        </is>
      </c>
    </row>
    <row r="21" ht="22" customHeight="1">
      <c r="A21" s="29" t="inlineStr">
        <is>
          <t>HABIT</t>
        </is>
      </c>
      <c r="B21" s="29" t="inlineStr">
        <is>
          <t>CATEGORY</t>
        </is>
      </c>
      <c r="C21" s="29" t="inlineStr">
        <is>
          <t>XP</t>
        </is>
      </c>
      <c r="D21" s="29" t="inlineStr">
        <is>
          <t>STATUS</t>
        </is>
      </c>
      <c r="E21" s="29" t="inlineStr">
        <is>
          <t>STREAK</t>
        </is>
      </c>
      <c r="F21" s="29" t="inlineStr">
        <is>
          <t>PROGRESS BAR</t>
        </is>
      </c>
      <c r="G21" s="2" t="n"/>
      <c r="H21" s="2" t="n"/>
      <c r="I21" s="2" t="n"/>
      <c r="J21" s="2" t="n"/>
      <c r="K21" s="2" t="n"/>
      <c r="L21" s="2" t="n"/>
      <c r="M21" s="2" t="n"/>
      <c r="N21" s="2" t="n"/>
      <c r="O21" s="2" t="n"/>
      <c r="P21" s="2" t="n"/>
      <c r="Q21" s="2" t="n"/>
      <c r="R21" s="2" t="n"/>
      <c r="S21" s="2" t="n"/>
      <c r="T21" s="2" t="n"/>
    </row>
    <row r="22" ht="26" customHeight="1">
      <c r="A22" s="30" t="inlineStr">
        <is>
          <t>💧  Drink 8 Glasses of Water</t>
        </is>
      </c>
      <c r="B22" s="31">
        <f>'Habits Setup'!C9</f>
        <v/>
      </c>
      <c r="C22" s="32">
        <f>'Habits Setup'!E9</f>
        <v/>
      </c>
      <c r="D22" s="33">
        <f>'Check-In'!Q9</f>
        <v/>
      </c>
      <c r="E22" s="34">
        <f>'Check-In'!C9</f>
        <v/>
      </c>
      <c r="F22" s="35">
        <f>REPT("█",ROUND(=IFERROR('Check-In'!C9/14,0)*20,0))&amp;REPT("░",20-ROUND(=IFERROR('Check-In'!C9/14,0)*20,0))&amp;"  "&amp;TEXT(=IFERROR('Check-In'!C9/14,0),"0%")</f>
        <v/>
      </c>
      <c r="G22" s="2" t="n"/>
      <c r="H22" s="2" t="n"/>
      <c r="I22" s="2" t="n"/>
      <c r="J22" s="2" t="n"/>
      <c r="K22" s="2" t="n"/>
      <c r="L22" s="2" t="n"/>
      <c r="M22" s="2" t="n"/>
      <c r="N22" s="2" t="n"/>
      <c r="O22" s="2" t="n"/>
      <c r="P22" s="2" t="n"/>
      <c r="Q22" s="2" t="n"/>
      <c r="R22" s="2" t="n"/>
      <c r="S22" s="2" t="n"/>
      <c r="T22" s="2" t="n"/>
    </row>
    <row r="23" ht="26" customHeight="1">
      <c r="A23" s="36" t="inlineStr">
        <is>
          <t>🏋️  30-Min Workout</t>
        </is>
      </c>
      <c r="B23" s="37">
        <f>'Habits Setup'!C10</f>
        <v/>
      </c>
      <c r="C23" s="32">
        <f>'Habits Setup'!E10</f>
        <v/>
      </c>
      <c r="D23" s="38">
        <f>'Check-In'!Q10</f>
        <v/>
      </c>
      <c r="E23" s="39">
        <f>'Check-In'!C10</f>
        <v/>
      </c>
      <c r="F23" s="40">
        <f>REPT("█",ROUND(=IFERROR('Check-In'!C10/14,0)*20,0))&amp;REPT("░",20-ROUND(=IFERROR('Check-In'!C10/14,0)*20,0))&amp;"  "&amp;TEXT(=IFERROR('Check-In'!C10/14,0),"0%")</f>
        <v/>
      </c>
      <c r="G23" s="2" t="n"/>
      <c r="H23" s="2" t="n"/>
      <c r="I23" s="2" t="n"/>
      <c r="J23" s="2" t="n"/>
      <c r="K23" s="2" t="n"/>
      <c r="L23" s="2" t="n"/>
      <c r="M23" s="2" t="n"/>
      <c r="N23" s="2" t="n"/>
      <c r="O23" s="2" t="n"/>
      <c r="P23" s="2" t="n"/>
      <c r="Q23" s="2" t="n"/>
      <c r="R23" s="2" t="n"/>
      <c r="S23" s="2" t="n"/>
      <c r="T23" s="2" t="n"/>
    </row>
    <row r="24" ht="26" customHeight="1">
      <c r="A24" s="41" t="inlineStr">
        <is>
          <t>🧘  Meditate 10 Min</t>
        </is>
      </c>
      <c r="B24" s="31">
        <f>'Habits Setup'!C11</f>
        <v/>
      </c>
      <c r="C24" s="32">
        <f>'Habits Setup'!E11</f>
        <v/>
      </c>
      <c r="D24" s="33">
        <f>'Check-In'!Q11</f>
        <v/>
      </c>
      <c r="E24" s="34">
        <f>'Check-In'!C11</f>
        <v/>
      </c>
      <c r="F24" s="42">
        <f>REPT("█",ROUND(=IFERROR('Check-In'!C11/14,0)*20,0))&amp;REPT("░",20-ROUND(=IFERROR('Check-In'!C11/14,0)*20,0))&amp;"  "&amp;TEXT(=IFERROR('Check-In'!C11/14,0),"0%")</f>
        <v/>
      </c>
      <c r="G24" s="2" t="n"/>
      <c r="H24" s="2" t="n"/>
      <c r="I24" s="2" t="n"/>
      <c r="J24" s="2" t="n"/>
      <c r="K24" s="2" t="n"/>
      <c r="L24" s="2" t="n"/>
      <c r="M24" s="2" t="n"/>
      <c r="N24" s="2" t="n"/>
      <c r="O24" s="2" t="n"/>
      <c r="P24" s="2" t="n"/>
      <c r="Q24" s="2" t="n"/>
      <c r="R24" s="2" t="n"/>
      <c r="S24" s="2" t="n"/>
      <c r="T24" s="2" t="n"/>
    </row>
    <row r="25" ht="26" customHeight="1">
      <c r="A25" s="43" t="inlineStr">
        <is>
          <t>📚  Read 30 Minutes</t>
        </is>
      </c>
      <c r="B25" s="37">
        <f>'Habits Setup'!C12</f>
        <v/>
      </c>
      <c r="C25" s="32">
        <f>'Habits Setup'!E12</f>
        <v/>
      </c>
      <c r="D25" s="38">
        <f>'Check-In'!Q12</f>
        <v/>
      </c>
      <c r="E25" s="39">
        <f>'Check-In'!C12</f>
        <v/>
      </c>
      <c r="F25" s="44">
        <f>REPT("█",ROUND(=IFERROR('Check-In'!C12/14,0)*20,0))&amp;REPT("░",20-ROUND(=IFERROR('Check-In'!C12/14,0)*20,0))&amp;"  "&amp;TEXT(=IFERROR('Check-In'!C12/14,0),"0%")</f>
        <v/>
      </c>
      <c r="G25" s="2" t="n"/>
      <c r="H25" s="2" t="n"/>
      <c r="I25" s="2" t="n"/>
      <c r="J25" s="2" t="n"/>
      <c r="K25" s="2" t="n"/>
      <c r="L25" s="2" t="n"/>
      <c r="M25" s="2" t="n"/>
      <c r="N25" s="2" t="n"/>
      <c r="O25" s="2" t="n"/>
      <c r="P25" s="2" t="n"/>
      <c r="Q25" s="2" t="n"/>
      <c r="R25" s="2" t="n"/>
      <c r="S25" s="2" t="n"/>
      <c r="T25" s="2" t="n"/>
    </row>
    <row r="26" ht="26" customHeight="1">
      <c r="A26" s="41" t="inlineStr">
        <is>
          <t>🚫  No Social Media 1hr AM</t>
        </is>
      </c>
      <c r="B26" s="31">
        <f>'Habits Setup'!C13</f>
        <v/>
      </c>
      <c r="C26" s="32">
        <f>'Habits Setup'!E13</f>
        <v/>
      </c>
      <c r="D26" s="33">
        <f>'Check-In'!Q13</f>
        <v/>
      </c>
      <c r="E26" s="34">
        <f>'Check-In'!C13</f>
        <v/>
      </c>
      <c r="F26" s="42">
        <f>REPT("█",ROUND(=IFERROR('Check-In'!C13/14,0)*20,0))&amp;REPT("░",20-ROUND(=IFERROR('Check-In'!C13/14,0)*20,0))&amp;"  "&amp;TEXT(=IFERROR('Check-In'!C13/14,0),"0%")</f>
        <v/>
      </c>
      <c r="G26" s="2" t="n"/>
      <c r="H26" s="2" t="n"/>
      <c r="I26" s="2" t="n"/>
      <c r="J26" s="2" t="n"/>
      <c r="K26" s="2" t="n"/>
      <c r="L26" s="2" t="n"/>
      <c r="M26" s="2" t="n"/>
      <c r="N26" s="2" t="n"/>
      <c r="O26" s="2" t="n"/>
      <c r="P26" s="2" t="n"/>
      <c r="Q26" s="2" t="n"/>
      <c r="R26" s="2" t="n"/>
      <c r="S26" s="2" t="n"/>
      <c r="T26" s="2" t="n"/>
    </row>
    <row r="27" ht="26" customHeight="1">
      <c r="A27" s="45" t="inlineStr">
        <is>
          <t>🙏  Gratitude Journal</t>
        </is>
      </c>
      <c r="B27" s="37">
        <f>'Habits Setup'!C14</f>
        <v/>
      </c>
      <c r="C27" s="32">
        <f>'Habits Setup'!E14</f>
        <v/>
      </c>
      <c r="D27" s="38">
        <f>'Check-In'!Q14</f>
        <v/>
      </c>
      <c r="E27" s="39">
        <f>'Check-In'!C14</f>
        <v/>
      </c>
      <c r="F27" s="46">
        <f>REPT("█",ROUND(=IFERROR('Check-In'!C14/14,0)*20,0))&amp;REPT("░",20-ROUND(=IFERROR('Check-In'!C14/14,0)*20,0))&amp;"  "&amp;TEXT(=IFERROR('Check-In'!C14/14,0),"0%")</f>
        <v/>
      </c>
      <c r="G27" s="2" t="n"/>
      <c r="H27" s="2" t="n"/>
      <c r="I27" s="2" t="n"/>
      <c r="J27" s="2" t="n"/>
      <c r="K27" s="2" t="n"/>
      <c r="L27" s="2" t="n"/>
      <c r="M27" s="2" t="n"/>
      <c r="N27" s="2" t="n"/>
      <c r="O27" s="2" t="n"/>
      <c r="P27" s="2" t="n"/>
      <c r="Q27" s="2" t="n"/>
      <c r="R27" s="2" t="n"/>
      <c r="S27" s="2" t="n"/>
      <c r="T27" s="2" t="n"/>
    </row>
    <row r="28" ht="26" customHeight="1">
      <c r="A28" s="47" t="inlineStr">
        <is>
          <t>👟  10,000 Steps</t>
        </is>
      </c>
      <c r="B28" s="31">
        <f>'Habits Setup'!C15</f>
        <v/>
      </c>
      <c r="C28" s="32">
        <f>'Habits Setup'!E15</f>
        <v/>
      </c>
      <c r="D28" s="33">
        <f>'Check-In'!Q15</f>
        <v/>
      </c>
      <c r="E28" s="34">
        <f>'Check-In'!C15</f>
        <v/>
      </c>
      <c r="F28" s="48">
        <f>REPT("█",ROUND(=IFERROR('Check-In'!C15/14,0)*20,0))&amp;REPT("░",20-ROUND(=IFERROR('Check-In'!C15/14,0)*20,0))&amp;"  "&amp;TEXT(=IFERROR('Check-In'!C15/14,0),"0%")</f>
        <v/>
      </c>
      <c r="G28" s="2" t="n"/>
      <c r="H28" s="2" t="n"/>
      <c r="I28" s="2" t="n"/>
      <c r="J28" s="2" t="n"/>
      <c r="K28" s="2" t="n"/>
      <c r="L28" s="2" t="n"/>
      <c r="M28" s="2" t="n"/>
      <c r="N28" s="2" t="n"/>
      <c r="O28" s="2" t="n"/>
      <c r="P28" s="2" t="n"/>
      <c r="Q28" s="2" t="n"/>
      <c r="R28" s="2" t="n"/>
      <c r="S28" s="2" t="n"/>
      <c r="T28" s="2" t="n"/>
    </row>
    <row r="29" ht="26" customHeight="1">
      <c r="A29" s="49" t="inlineStr">
        <is>
          <t>😴  Sleep by 11pm</t>
        </is>
      </c>
      <c r="B29" s="37">
        <f>'Habits Setup'!C16</f>
        <v/>
      </c>
      <c r="C29" s="32">
        <f>'Habits Setup'!E16</f>
        <v/>
      </c>
      <c r="D29" s="38">
        <f>'Check-In'!Q16</f>
        <v/>
      </c>
      <c r="E29" s="39">
        <f>'Check-In'!C16</f>
        <v/>
      </c>
      <c r="F29" s="50">
        <f>REPT("█",ROUND(=IFERROR('Check-In'!C16/14,0)*20,0))&amp;REPT("░",20-ROUND(=IFERROR('Check-In'!C16/14,0)*20,0))&amp;"  "&amp;TEXT(=IFERROR('Check-In'!C16/14,0),"0%")</f>
        <v/>
      </c>
      <c r="G29" s="2" t="n"/>
      <c r="H29" s="2" t="n"/>
      <c r="I29" s="2" t="n"/>
      <c r="J29" s="2" t="n"/>
      <c r="K29" s="2" t="n"/>
      <c r="L29" s="2" t="n"/>
      <c r="M29" s="2" t="n"/>
      <c r="N29" s="2" t="n"/>
      <c r="O29" s="2" t="n"/>
      <c r="P29" s="2" t="n"/>
      <c r="Q29" s="2" t="n"/>
      <c r="R29" s="2" t="n"/>
      <c r="S29" s="2" t="n"/>
      <c r="T29" s="2" t="n"/>
    </row>
    <row r="30" ht="26" customHeight="1">
      <c r="A30" s="51" t="inlineStr">
        <is>
          <t>💼  Deep Work 2 Hours</t>
        </is>
      </c>
      <c r="B30" s="31">
        <f>'Habits Setup'!C17</f>
        <v/>
      </c>
      <c r="C30" s="32">
        <f>'Habits Setup'!E17</f>
        <v/>
      </c>
      <c r="D30" s="33">
        <f>'Check-In'!Q17</f>
        <v/>
      </c>
      <c r="E30" s="34">
        <f>'Check-In'!C17</f>
        <v/>
      </c>
      <c r="F30" s="52">
        <f>REPT("█",ROUND(=IFERROR('Check-In'!C17/14,0)*20,0))&amp;REPT("░",20-ROUND(=IFERROR('Check-In'!C17/14,0)*20,0))&amp;"  "&amp;TEXT(=IFERROR('Check-In'!C17/14,0),"0%")</f>
        <v/>
      </c>
      <c r="G30" s="2" t="n"/>
      <c r="H30" s="2" t="n"/>
      <c r="I30" s="2" t="n"/>
      <c r="J30" s="2" t="n"/>
      <c r="K30" s="2" t="n"/>
      <c r="L30" s="2" t="n"/>
      <c r="M30" s="2" t="n"/>
      <c r="N30" s="2" t="n"/>
      <c r="O30" s="2" t="n"/>
      <c r="P30" s="2" t="n"/>
      <c r="Q30" s="2" t="n"/>
      <c r="R30" s="2" t="n"/>
      <c r="S30" s="2" t="n"/>
      <c r="T30" s="2" t="n"/>
    </row>
    <row r="31" ht="26" customHeight="1">
      <c r="A31" s="53" t="inlineStr">
        <is>
          <t>📞  Connect with Someone</t>
        </is>
      </c>
      <c r="B31" s="37">
        <f>'Habits Setup'!C18</f>
        <v/>
      </c>
      <c r="C31" s="32">
        <f>'Habits Setup'!E18</f>
        <v/>
      </c>
      <c r="D31" s="38">
        <f>'Check-In'!Q18</f>
        <v/>
      </c>
      <c r="E31" s="39">
        <f>'Check-In'!C18</f>
        <v/>
      </c>
      <c r="F31" s="54">
        <f>REPT("█",ROUND(=IFERROR('Check-In'!C18/14,0)*20,0))&amp;REPT("░",20-ROUND(=IFERROR('Check-In'!C18/14,0)*20,0))&amp;"  "&amp;TEXT(=IFERROR('Check-In'!C18/14,0),"0%")</f>
        <v/>
      </c>
      <c r="G31" s="2" t="n"/>
      <c r="H31" s="2" t="n"/>
      <c r="I31" s="2" t="n"/>
      <c r="J31" s="2" t="n"/>
      <c r="K31" s="2" t="n"/>
      <c r="L31" s="2" t="n"/>
      <c r="M31" s="2" t="n"/>
      <c r="N31" s="2" t="n"/>
      <c r="O31" s="2" t="n"/>
      <c r="P31" s="2" t="n"/>
      <c r="Q31" s="2" t="n"/>
      <c r="R31" s="2" t="n"/>
      <c r="S31" s="2" t="n"/>
      <c r="T31" s="2" t="n"/>
    </row>
    <row r="32" ht="26" customHeight="1">
      <c r="A32" s="30" t="inlineStr">
        <is>
          <t>🥗  Eat Clean All Day</t>
        </is>
      </c>
      <c r="B32" s="31">
        <f>'Habits Setup'!C19</f>
        <v/>
      </c>
      <c r="C32" s="32">
        <f>'Habits Setup'!E19</f>
        <v/>
      </c>
      <c r="D32" s="33">
        <f>'Check-In'!Q19</f>
        <v/>
      </c>
      <c r="E32" s="34">
        <f>'Check-In'!C19</f>
        <v/>
      </c>
      <c r="F32" s="35">
        <f>REPT("█",ROUND(=IFERROR('Check-In'!C19/14,0)*20,0))&amp;REPT("░",20-ROUND(=IFERROR('Check-In'!C19/14,0)*20,0))&amp;"  "&amp;TEXT(=IFERROR('Check-In'!C19/14,0),"0%")</f>
        <v/>
      </c>
      <c r="G32" s="2" t="n"/>
      <c r="H32" s="2" t="n"/>
      <c r="I32" s="2" t="n"/>
      <c r="J32" s="2" t="n"/>
      <c r="K32" s="2" t="n"/>
      <c r="L32" s="2" t="n"/>
      <c r="M32" s="2" t="n"/>
      <c r="N32" s="2" t="n"/>
      <c r="O32" s="2" t="n"/>
      <c r="P32" s="2" t="n"/>
      <c r="Q32" s="2" t="n"/>
      <c r="R32" s="2" t="n"/>
      <c r="S32" s="2" t="n"/>
      <c r="T32" s="2" t="n"/>
    </row>
    <row r="33" ht="26" customHeight="1">
      <c r="A33" s="43" t="inlineStr">
        <is>
          <t>✍️  Write / Journal</t>
        </is>
      </c>
      <c r="B33" s="37">
        <f>'Habits Setup'!C20</f>
        <v/>
      </c>
      <c r="C33" s="32">
        <f>'Habits Setup'!E20</f>
        <v/>
      </c>
      <c r="D33" s="38">
        <f>'Check-In'!Q20</f>
        <v/>
      </c>
      <c r="E33" s="39">
        <f>'Check-In'!C20</f>
        <v/>
      </c>
      <c r="F33" s="44">
        <f>REPT("█",ROUND(=IFERROR('Check-In'!C20/14,0)*20,0))&amp;REPT("░",20-ROUND(=IFERROR('Check-In'!C20/14,0)*20,0))&amp;"  "&amp;TEXT(=IFERROR('Check-In'!C20/14,0),"0%")</f>
        <v/>
      </c>
      <c r="G33" s="2" t="n"/>
      <c r="H33" s="2" t="n"/>
      <c r="I33" s="2" t="n"/>
      <c r="J33" s="2" t="n"/>
      <c r="K33" s="2" t="n"/>
      <c r="L33" s="2" t="n"/>
      <c r="M33" s="2" t="n"/>
      <c r="N33" s="2" t="n"/>
      <c r="O33" s="2" t="n"/>
      <c r="P33" s="2" t="n"/>
      <c r="Q33" s="2" t="n"/>
      <c r="R33" s="2" t="n"/>
      <c r="S33" s="2" t="n"/>
      <c r="T33" s="2" t="n"/>
    </row>
    <row r="34" ht="10" customHeight="1">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row>
    <row r="35" ht="42" customHeight="1">
      <c r="A35" s="55" t="inlineStr">
        <is>
          <t>"Momentum, not motivation. Every rep compounds."</t>
        </is>
      </c>
      <c r="G35" s="2" t="n"/>
      <c r="H35" s="2" t="n"/>
      <c r="I35" s="2" t="n"/>
      <c r="J35" s="2" t="n"/>
      <c r="K35" s="2" t="n"/>
      <c r="L35" s="2" t="n"/>
      <c r="M35" s="2" t="n"/>
      <c r="N35" s="2" t="n"/>
      <c r="O35" s="2" t="n"/>
      <c r="P35" s="2" t="n"/>
      <c r="Q35" s="2" t="n"/>
      <c r="R35" s="2" t="n"/>
      <c r="S35" s="2" t="n"/>
      <c r="T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row>
  </sheetData>
  <mergeCells count="17">
    <mergeCell ref="L6:P8"/>
    <mergeCell ref="A16:E16"/>
    <mergeCell ref="A2:R2"/>
    <mergeCell ref="A12:E15"/>
    <mergeCell ref="Q5:T5"/>
    <mergeCell ref="Q6:T8"/>
    <mergeCell ref="A11:E11"/>
    <mergeCell ref="G6:K8"/>
    <mergeCell ref="A5:E5"/>
    <mergeCell ref="G5:K5"/>
    <mergeCell ref="A1:R1"/>
    <mergeCell ref="A20:T20"/>
    <mergeCell ref="A6:E8"/>
    <mergeCell ref="A35:F35"/>
    <mergeCell ref="L5:P5"/>
    <mergeCell ref="A17:E17"/>
    <mergeCell ref="A18:E18"/>
  </mergeCells>
  <conditionalFormatting sqref="D22:D33">
    <cfRule type="cellIs" priority="1" operator="equal" dxfId="0">
      <formula>"✅"</formula>
    </cfRule>
    <cfRule type="cellIs" priority="2" operator="equal" dxfId="1">
      <formula>"❌"</formula>
    </cfRule>
    <cfRule type="cellIs" priority="3" operator="equal" dxfId="2">
      <formula>"⏭"</formula>
    </cfRule>
  </conditionalFormatting>
  <pageMargins left="0.75" right="0.75" top="1" bottom="1" header="0.5" footer="0.5"/>
</worksheet>
</file>

<file path=xl/worksheets/sheet2.xml><?xml version="1.0" encoding="utf-8"?>
<worksheet xmlns="http://schemas.openxmlformats.org/spreadsheetml/2006/main">
  <sheetPr>
    <tabColor rgb="009CA3AF"/>
    <outlinePr summaryBelow="1" summaryRight="1"/>
    <pageSetUpPr/>
  </sheetPr>
  <dimension ref="A1:Y12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14" customWidth="1" min="3" max="3"/>
    <col width="13" customWidth="1" min="4" max="4"/>
    <col width="11" customWidth="1" min="5" max="5"/>
    <col width="11" customWidth="1" min="6" max="6"/>
    <col width="8" customWidth="1" min="7" max="7"/>
    <col width="10" customWidth="1" min="8" max="8"/>
    <col width="10" customWidth="1" min="9" max="9"/>
    <col width="26" customWidth="1" min="10" max="10"/>
  </cols>
  <sheetData>
    <row r="1" ht="46" customHeight="1">
      <c r="A1" s="1" t="inlineStr">
        <is>
          <t xml:space="preserve">   ⚙  Habits Setup</t>
        </is>
      </c>
      <c r="K1" s="2" t="n"/>
      <c r="L1" s="2" t="n"/>
    </row>
    <row r="2" ht="18" customHeight="1">
      <c r="A2" s="3" t="inlineStr">
        <is>
          <t>Add, remove or customise your habits. XP per completion drives your level.</t>
        </is>
      </c>
      <c r="K2" s="2" t="n"/>
      <c r="L2" s="2" t="n"/>
    </row>
    <row r="3" ht="6" customHeight="1">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row>
    <row r="4" ht="24" customHeight="1">
      <c r="A4" s="56" t="inlineStr">
        <is>
          <t>#</t>
        </is>
      </c>
      <c r="B4" s="56" t="inlineStr">
        <is>
          <t>Habit Name</t>
        </is>
      </c>
      <c r="C4" s="56" t="inlineStr">
        <is>
          <t>Category</t>
        </is>
      </c>
      <c r="D4" s="56" t="inlineStr">
        <is>
          <t>Frequency</t>
        </is>
      </c>
      <c r="E4" s="56" t="inlineStr">
        <is>
          <t>XP Value</t>
        </is>
      </c>
      <c r="F4" s="56" t="inlineStr">
        <is>
          <t>Target/Wk</t>
        </is>
      </c>
      <c r="G4" s="56" t="inlineStr">
        <is>
          <t>Icon</t>
        </is>
      </c>
      <c r="H4" s="56" t="inlineStr">
        <is>
          <t>Active?</t>
        </is>
      </c>
      <c r="I4" s="56" t="inlineStr">
        <is>
          <t>Color</t>
        </is>
      </c>
      <c r="J4" s="56" t="inlineStr">
        <is>
          <t>Notes</t>
        </is>
      </c>
      <c r="K4" s="2" t="n"/>
      <c r="L4" s="2" t="n"/>
    </row>
    <row r="5" ht="22" customHeight="1">
      <c r="A5" s="57" t="n">
        <v>1</v>
      </c>
      <c r="B5" s="58" t="inlineStr">
        <is>
          <t>Drink 8 Glasses of Water</t>
        </is>
      </c>
      <c r="C5" s="57" t="inlineStr">
        <is>
          <t>Health</t>
        </is>
      </c>
      <c r="D5" s="57" t="inlineStr">
        <is>
          <t>Daily</t>
        </is>
      </c>
      <c r="E5" s="59" t="n">
        <v>10</v>
      </c>
      <c r="F5" s="57" t="n">
        <v>7</v>
      </c>
      <c r="G5" s="57" t="inlineStr">
        <is>
          <t>💧</t>
        </is>
      </c>
      <c r="H5" s="57" t="inlineStr">
        <is>
          <t>Yes</t>
        </is>
      </c>
      <c r="I5" s="60" t="inlineStr">
        <is>
          <t>0EA5E9</t>
        </is>
      </c>
      <c r="J5" s="60" t="inlineStr"/>
      <c r="K5" s="2" t="n"/>
      <c r="L5" s="2" t="n"/>
    </row>
    <row r="6" ht="22" customHeight="1">
      <c r="A6" s="61" t="n">
        <v>2</v>
      </c>
      <c r="B6" s="62" t="inlineStr">
        <is>
          <t>30-Min Workout</t>
        </is>
      </c>
      <c r="C6" s="61" t="inlineStr">
        <is>
          <t>Fitness</t>
        </is>
      </c>
      <c r="D6" s="61" t="inlineStr">
        <is>
          <t>Daily</t>
        </is>
      </c>
      <c r="E6" s="63" t="n">
        <v>25</v>
      </c>
      <c r="F6" s="61" t="n">
        <v>7</v>
      </c>
      <c r="G6" s="61" t="inlineStr">
        <is>
          <t>🏋️</t>
        </is>
      </c>
      <c r="H6" s="61" t="inlineStr">
        <is>
          <t>Yes</t>
        </is>
      </c>
      <c r="I6" s="64" t="inlineStr">
        <is>
          <t>10B981</t>
        </is>
      </c>
      <c r="J6" s="64" t="inlineStr"/>
      <c r="K6" s="2" t="n"/>
      <c r="L6" s="2" t="n"/>
    </row>
    <row r="7" ht="22" customHeight="1">
      <c r="A7" s="57" t="n">
        <v>3</v>
      </c>
      <c r="B7" s="65" t="inlineStr">
        <is>
          <t>Meditate 10 Min</t>
        </is>
      </c>
      <c r="C7" s="57" t="inlineStr">
        <is>
          <t>Mindset</t>
        </is>
      </c>
      <c r="D7" s="57" t="inlineStr">
        <is>
          <t>Daily</t>
        </is>
      </c>
      <c r="E7" s="59" t="n">
        <v>20</v>
      </c>
      <c r="F7" s="57" t="n">
        <v>7</v>
      </c>
      <c r="G7" s="57" t="inlineStr">
        <is>
          <t>🧘</t>
        </is>
      </c>
      <c r="H7" s="57" t="inlineStr">
        <is>
          <t>Yes</t>
        </is>
      </c>
      <c r="I7" s="60" t="inlineStr">
        <is>
          <t>8B5CF6</t>
        </is>
      </c>
      <c r="J7" s="60" t="inlineStr"/>
      <c r="K7" s="2" t="n"/>
      <c r="L7" s="2" t="n"/>
    </row>
    <row r="8" ht="22" customHeight="1">
      <c r="A8" s="61" t="n">
        <v>4</v>
      </c>
      <c r="B8" s="66" t="inlineStr">
        <is>
          <t>Read 30 Minutes</t>
        </is>
      </c>
      <c r="C8" s="61" t="inlineStr">
        <is>
          <t>Focus</t>
        </is>
      </c>
      <c r="D8" s="61" t="inlineStr">
        <is>
          <t>Daily</t>
        </is>
      </c>
      <c r="E8" s="63" t="n">
        <v>20</v>
      </c>
      <c r="F8" s="61" t="n">
        <v>7</v>
      </c>
      <c r="G8" s="61" t="inlineStr">
        <is>
          <t>📚</t>
        </is>
      </c>
      <c r="H8" s="61" t="inlineStr">
        <is>
          <t>Yes</t>
        </is>
      </c>
      <c r="I8" s="64" t="inlineStr">
        <is>
          <t>F59E0B</t>
        </is>
      </c>
      <c r="J8" s="64" t="inlineStr"/>
      <c r="K8" s="2" t="n"/>
      <c r="L8" s="2" t="n"/>
    </row>
    <row r="9" ht="22" customHeight="1">
      <c r="A9" s="57" t="n">
        <v>5</v>
      </c>
      <c r="B9" s="65" t="inlineStr">
        <is>
          <t>No Social Media 1hr AM</t>
        </is>
      </c>
      <c r="C9" s="57" t="inlineStr">
        <is>
          <t>Mindset</t>
        </is>
      </c>
      <c r="D9" s="57" t="inlineStr">
        <is>
          <t>Daily</t>
        </is>
      </c>
      <c r="E9" s="59" t="n">
        <v>15</v>
      </c>
      <c r="F9" s="57" t="n">
        <v>7</v>
      </c>
      <c r="G9" s="57" t="inlineStr">
        <is>
          <t>🚫</t>
        </is>
      </c>
      <c r="H9" s="57" t="inlineStr">
        <is>
          <t>Yes</t>
        </is>
      </c>
      <c r="I9" s="60" t="inlineStr">
        <is>
          <t>8B5CF6</t>
        </is>
      </c>
      <c r="J9" s="60" t="inlineStr"/>
      <c r="K9" s="2" t="n"/>
      <c r="L9" s="2" t="n"/>
    </row>
    <row r="10" ht="22" customHeight="1">
      <c r="A10" s="61" t="n">
        <v>6</v>
      </c>
      <c r="B10" s="67" t="inlineStr">
        <is>
          <t>Gratitude Journal</t>
        </is>
      </c>
      <c r="C10" s="61" t="inlineStr">
        <is>
          <t>Mindset</t>
        </is>
      </c>
      <c r="D10" s="61" t="inlineStr">
        <is>
          <t>Daily</t>
        </is>
      </c>
      <c r="E10" s="63" t="n">
        <v>15</v>
      </c>
      <c r="F10" s="61" t="n">
        <v>7</v>
      </c>
      <c r="G10" s="61" t="inlineStr">
        <is>
          <t>🙏</t>
        </is>
      </c>
      <c r="H10" s="61" t="inlineStr">
        <is>
          <t>Yes</t>
        </is>
      </c>
      <c r="I10" s="64" t="inlineStr">
        <is>
          <t>8B5CF6</t>
        </is>
      </c>
      <c r="J10" s="64" t="inlineStr"/>
      <c r="K10" s="2" t="n"/>
      <c r="L10" s="2" t="n"/>
    </row>
    <row r="11" ht="22" customHeight="1">
      <c r="A11" s="57" t="n">
        <v>7</v>
      </c>
      <c r="B11" s="68" t="inlineStr">
        <is>
          <t>10,000 Steps</t>
        </is>
      </c>
      <c r="C11" s="57" t="inlineStr">
        <is>
          <t>Fitness</t>
        </is>
      </c>
      <c r="D11" s="57" t="inlineStr">
        <is>
          <t>Daily</t>
        </is>
      </c>
      <c r="E11" s="59" t="n">
        <v>20</v>
      </c>
      <c r="F11" s="57" t="n">
        <v>7</v>
      </c>
      <c r="G11" s="57" t="inlineStr">
        <is>
          <t>👟</t>
        </is>
      </c>
      <c r="H11" s="57" t="inlineStr">
        <is>
          <t>Yes</t>
        </is>
      </c>
      <c r="I11" s="60" t="inlineStr">
        <is>
          <t>10B981</t>
        </is>
      </c>
      <c r="J11" s="60" t="inlineStr"/>
      <c r="K11" s="2" t="n"/>
      <c r="L11" s="2" t="n"/>
    </row>
    <row r="12" ht="22" customHeight="1">
      <c r="A12" s="61" t="n">
        <v>8</v>
      </c>
      <c r="B12" s="69" t="inlineStr">
        <is>
          <t>Sleep by 11pm</t>
        </is>
      </c>
      <c r="C12" s="61" t="inlineStr">
        <is>
          <t>Health</t>
        </is>
      </c>
      <c r="D12" s="61" t="inlineStr">
        <is>
          <t>Daily</t>
        </is>
      </c>
      <c r="E12" s="63" t="n">
        <v>15</v>
      </c>
      <c r="F12" s="61" t="n">
        <v>7</v>
      </c>
      <c r="G12" s="61" t="inlineStr">
        <is>
          <t>😴</t>
        </is>
      </c>
      <c r="H12" s="61" t="inlineStr">
        <is>
          <t>Yes</t>
        </is>
      </c>
      <c r="I12" s="64" t="inlineStr">
        <is>
          <t>0EA5E9</t>
        </is>
      </c>
      <c r="J12" s="64" t="inlineStr"/>
      <c r="K12" s="2" t="n"/>
      <c r="L12" s="2" t="n"/>
    </row>
    <row r="13" ht="22" customHeight="1">
      <c r="A13" s="57" t="n">
        <v>9</v>
      </c>
      <c r="B13" s="70" t="inlineStr">
        <is>
          <t>Deep Work 2 Hours</t>
        </is>
      </c>
      <c r="C13" s="57" t="inlineStr">
        <is>
          <t>Business</t>
        </is>
      </c>
      <c r="D13" s="57" t="inlineStr">
        <is>
          <t>Daily</t>
        </is>
      </c>
      <c r="E13" s="59" t="n">
        <v>30</v>
      </c>
      <c r="F13" s="57" t="n">
        <v>7</v>
      </c>
      <c r="G13" s="57" t="inlineStr">
        <is>
          <t>💼</t>
        </is>
      </c>
      <c r="H13" s="57" t="inlineStr">
        <is>
          <t>Yes</t>
        </is>
      </c>
      <c r="I13" s="60" t="inlineStr">
        <is>
          <t>EF4444</t>
        </is>
      </c>
      <c r="J13" s="60" t="inlineStr"/>
      <c r="K13" s="2" t="n"/>
      <c r="L13" s="2" t="n"/>
    </row>
    <row r="14" ht="22" customHeight="1">
      <c r="A14" s="61" t="n">
        <v>10</v>
      </c>
      <c r="B14" s="71" t="inlineStr">
        <is>
          <t>Connect with Someone</t>
        </is>
      </c>
      <c r="C14" s="61" t="inlineStr">
        <is>
          <t>Social</t>
        </is>
      </c>
      <c r="D14" s="61" t="inlineStr">
        <is>
          <t>Weekly</t>
        </is>
      </c>
      <c r="E14" s="63" t="n">
        <v>20</v>
      </c>
      <c r="F14" s="61" t="n">
        <v>1</v>
      </c>
      <c r="G14" s="61" t="inlineStr">
        <is>
          <t>📞</t>
        </is>
      </c>
      <c r="H14" s="61" t="inlineStr">
        <is>
          <t>Yes</t>
        </is>
      </c>
      <c r="I14" s="64" t="inlineStr">
        <is>
          <t>EC4899</t>
        </is>
      </c>
      <c r="J14" s="64" t="inlineStr"/>
      <c r="K14" s="2" t="n"/>
      <c r="L14" s="2" t="n"/>
    </row>
    <row r="15" ht="22" customHeight="1">
      <c r="A15" s="57" t="n">
        <v>11</v>
      </c>
      <c r="B15" s="58" t="inlineStr">
        <is>
          <t>Eat Clean All Day</t>
        </is>
      </c>
      <c r="C15" s="57" t="inlineStr">
        <is>
          <t>Health</t>
        </is>
      </c>
      <c r="D15" s="57" t="inlineStr">
        <is>
          <t>Daily</t>
        </is>
      </c>
      <c r="E15" s="59" t="n">
        <v>15</v>
      </c>
      <c r="F15" s="57" t="n">
        <v>7</v>
      </c>
      <c r="G15" s="57" t="inlineStr">
        <is>
          <t>🥗</t>
        </is>
      </c>
      <c r="H15" s="57" t="inlineStr">
        <is>
          <t>Yes</t>
        </is>
      </c>
      <c r="I15" s="60" t="inlineStr">
        <is>
          <t>0EA5E9</t>
        </is>
      </c>
      <c r="J15" s="60" t="inlineStr"/>
      <c r="K15" s="2" t="n"/>
      <c r="L15" s="2" t="n"/>
    </row>
    <row r="16" ht="22" customHeight="1">
      <c r="A16" s="61" t="n">
        <v>12</v>
      </c>
      <c r="B16" s="66" t="inlineStr">
        <is>
          <t>Write / Journal</t>
        </is>
      </c>
      <c r="C16" s="61" t="inlineStr">
        <is>
          <t>Focus</t>
        </is>
      </c>
      <c r="D16" s="61" t="inlineStr">
        <is>
          <t>Daily</t>
        </is>
      </c>
      <c r="E16" s="63" t="n">
        <v>15</v>
      </c>
      <c r="F16" s="61" t="n">
        <v>7</v>
      </c>
      <c r="G16" s="61" t="inlineStr">
        <is>
          <t>✍️</t>
        </is>
      </c>
      <c r="H16" s="61" t="inlineStr">
        <is>
          <t>Yes</t>
        </is>
      </c>
      <c r="I16" s="64" t="inlineStr">
        <is>
          <t>F59E0B</t>
        </is>
      </c>
      <c r="J16" s="64" t="inlineStr"/>
      <c r="K16" s="2" t="n"/>
      <c r="L16" s="2" t="n"/>
    </row>
    <row r="17">
      <c r="A17" s="2" t="n"/>
      <c r="B17" s="2" t="n"/>
      <c r="C17" s="2" t="n"/>
      <c r="D17" s="2" t="n"/>
      <c r="E17" s="2" t="n"/>
      <c r="F17" s="2" t="n"/>
      <c r="G17" s="2" t="n"/>
      <c r="H17" s="2" t="n"/>
      <c r="I17" s="2" t="n"/>
      <c r="J17" s="2" t="n"/>
      <c r="K17" s="2" t="n"/>
      <c r="L17" s="2" t="n"/>
    </row>
    <row r="18" ht="22" customHeight="1">
      <c r="A18" s="72" t="inlineStr">
        <is>
          <t>💡  XP Values guide: Low effort = 10 XP  ·  Medium = 15–20 XP  ·  Hard = 25–30 XP  ·  Elite = 40+ XP</t>
        </is>
      </c>
      <c r="K18" s="2" t="n"/>
      <c r="L18" s="2" t="n"/>
    </row>
    <row r="19">
      <c r="A19" s="2" t="n"/>
      <c r="B19" s="2" t="n"/>
      <c r="C19" s="2" t="n"/>
      <c r="D19" s="2" t="n"/>
      <c r="E19" s="2" t="n"/>
      <c r="F19" s="2" t="n"/>
      <c r="G19" s="2" t="n"/>
      <c r="H19" s="2" t="n"/>
      <c r="I19" s="2" t="n"/>
      <c r="J19" s="2" t="n"/>
      <c r="K19" s="2" t="n"/>
      <c r="L19" s="2" t="n"/>
    </row>
    <row r="20">
      <c r="A20" s="2" t="n"/>
      <c r="B20" s="2" t="n"/>
      <c r="C20" s="2" t="n"/>
      <c r="D20" s="2" t="n"/>
      <c r="E20" s="2" t="n"/>
      <c r="F20" s="2" t="n"/>
      <c r="G20" s="2" t="n"/>
      <c r="H20" s="2" t="n"/>
      <c r="I20" s="2" t="n"/>
      <c r="J20" s="2" t="n"/>
      <c r="K20" s="2" t="n"/>
      <c r="L20" s="2" t="n"/>
    </row>
    <row r="21">
      <c r="A21" s="2" t="n"/>
      <c r="B21" s="2" t="n"/>
      <c r="C21" s="2" t="n"/>
      <c r="D21" s="2" t="n"/>
      <c r="E21" s="2" t="n"/>
      <c r="F21" s="2" t="n"/>
      <c r="G21" s="2" t="n"/>
      <c r="H21" s="2" t="n"/>
      <c r="I21" s="2" t="n"/>
      <c r="J21" s="2" t="n"/>
      <c r="K21" s="2" t="n"/>
      <c r="L21" s="2" t="n"/>
    </row>
    <row r="22">
      <c r="A22" s="2" t="n"/>
      <c r="B22" s="2" t="n"/>
      <c r="C22" s="2" t="n"/>
      <c r="D22" s="2" t="n"/>
      <c r="E22" s="2" t="n"/>
      <c r="F22" s="2" t="n"/>
      <c r="G22" s="2" t="n"/>
      <c r="H22" s="2" t="n"/>
      <c r="I22" s="2" t="n"/>
      <c r="J22" s="2" t="n"/>
      <c r="K22" s="2" t="n"/>
      <c r="L22" s="2" t="n"/>
    </row>
    <row r="23">
      <c r="A23" s="2" t="n"/>
      <c r="B23" s="2" t="n"/>
      <c r="C23" s="2" t="n"/>
      <c r="D23" s="2" t="n"/>
      <c r="E23" s="2" t="n"/>
      <c r="F23" s="2" t="n"/>
      <c r="G23" s="2" t="n"/>
      <c r="H23" s="2" t="n"/>
      <c r="I23" s="2" t="n"/>
      <c r="J23" s="2" t="n"/>
      <c r="K23" s="2" t="n"/>
      <c r="L23" s="2" t="n"/>
    </row>
    <row r="24">
      <c r="A24" s="2" t="n"/>
      <c r="B24" s="2" t="n"/>
      <c r="C24" s="2" t="n"/>
      <c r="D24" s="2" t="n"/>
      <c r="E24" s="2" t="n"/>
      <c r="F24" s="2" t="n"/>
      <c r="G24" s="2" t="n"/>
      <c r="H24" s="2" t="n"/>
      <c r="I24" s="2" t="n"/>
      <c r="J24" s="2" t="n"/>
      <c r="K24" s="2" t="n"/>
      <c r="L24" s="2" t="n"/>
    </row>
    <row r="25">
      <c r="A25" s="2" t="n"/>
      <c r="B25" s="2" t="n"/>
      <c r="C25" s="2" t="n"/>
      <c r="D25" s="2" t="n"/>
      <c r="E25" s="2" t="n"/>
      <c r="F25" s="2" t="n"/>
      <c r="G25" s="2" t="n"/>
      <c r="H25" s="2" t="n"/>
      <c r="I25" s="2" t="n"/>
      <c r="J25" s="2" t="n"/>
      <c r="K25" s="2" t="n"/>
      <c r="L25" s="2" t="n"/>
    </row>
    <row r="26">
      <c r="A26" s="2" t="n"/>
      <c r="B26" s="2" t="n"/>
      <c r="C26" s="2" t="n"/>
      <c r="D26" s="2" t="n"/>
      <c r="E26" s="2" t="n"/>
      <c r="F26" s="2" t="n"/>
      <c r="G26" s="2" t="n"/>
      <c r="H26" s="2" t="n"/>
      <c r="I26" s="2" t="n"/>
      <c r="J26" s="2" t="n"/>
      <c r="K26" s="2" t="n"/>
      <c r="L26" s="2" t="n"/>
    </row>
    <row r="27">
      <c r="A27" s="2" t="n"/>
      <c r="B27" s="2" t="n"/>
      <c r="C27" s="2" t="n"/>
      <c r="D27" s="2" t="n"/>
      <c r="E27" s="2" t="n"/>
      <c r="F27" s="2" t="n"/>
      <c r="G27" s="2" t="n"/>
      <c r="H27" s="2" t="n"/>
      <c r="I27" s="2" t="n"/>
      <c r="J27" s="2" t="n"/>
      <c r="K27" s="2" t="n"/>
      <c r="L27" s="2" t="n"/>
    </row>
    <row r="28">
      <c r="A28" s="2" t="n"/>
      <c r="B28" s="2" t="n"/>
      <c r="C28" s="2" t="n"/>
      <c r="D28" s="2" t="n"/>
      <c r="E28" s="2" t="n"/>
      <c r="F28" s="2" t="n"/>
      <c r="G28" s="2" t="n"/>
      <c r="H28" s="2" t="n"/>
      <c r="I28" s="2" t="n"/>
      <c r="J28" s="2" t="n"/>
      <c r="K28" s="2" t="n"/>
      <c r="L28" s="2" t="n"/>
    </row>
    <row r="29">
      <c r="A29" s="2" t="n"/>
      <c r="B29" s="2" t="n"/>
      <c r="C29" s="2" t="n"/>
      <c r="D29" s="2" t="n"/>
      <c r="E29" s="2" t="n"/>
      <c r="F29" s="2" t="n"/>
      <c r="G29" s="2" t="n"/>
      <c r="H29" s="2" t="n"/>
      <c r="I29" s="2" t="n"/>
      <c r="J29" s="2" t="n"/>
      <c r="K29" s="2" t="n"/>
      <c r="L29" s="2" t="n"/>
    </row>
    <row r="30">
      <c r="A30" s="2" t="n"/>
      <c r="B30" s="2" t="n"/>
      <c r="C30" s="2" t="n"/>
      <c r="D30" s="2" t="n"/>
      <c r="E30" s="2" t="n"/>
      <c r="F30" s="2" t="n"/>
      <c r="G30" s="2" t="n"/>
      <c r="H30" s="2" t="n"/>
      <c r="I30" s="2" t="n"/>
      <c r="J30" s="2" t="n"/>
      <c r="K30" s="2" t="n"/>
      <c r="L30" s="2" t="n"/>
    </row>
    <row r="31">
      <c r="A31" s="2" t="n"/>
      <c r="B31" s="2" t="n"/>
      <c r="C31" s="2" t="n"/>
      <c r="D31" s="2" t="n"/>
      <c r="E31" s="2" t="n"/>
      <c r="F31" s="2" t="n"/>
      <c r="G31" s="2" t="n"/>
      <c r="H31" s="2" t="n"/>
      <c r="I31" s="2" t="n"/>
      <c r="J31" s="2" t="n"/>
      <c r="K31" s="2" t="n"/>
      <c r="L31" s="2" t="n"/>
    </row>
    <row r="32">
      <c r="A32" s="2" t="n"/>
      <c r="B32" s="2" t="n"/>
      <c r="C32" s="2" t="n"/>
      <c r="D32" s="2" t="n"/>
      <c r="E32" s="2" t="n"/>
      <c r="F32" s="2" t="n"/>
      <c r="G32" s="2" t="n"/>
      <c r="H32" s="2" t="n"/>
      <c r="I32" s="2" t="n"/>
      <c r="J32" s="2" t="n"/>
      <c r="K32" s="2" t="n"/>
      <c r="L32" s="2" t="n"/>
    </row>
    <row r="33">
      <c r="A33" s="2" t="n"/>
      <c r="B33" s="2" t="n"/>
      <c r="C33" s="2" t="n"/>
      <c r="D33" s="2" t="n"/>
      <c r="E33" s="2" t="n"/>
      <c r="F33" s="2" t="n"/>
      <c r="G33" s="2" t="n"/>
      <c r="H33" s="2" t="n"/>
      <c r="I33" s="2" t="n"/>
      <c r="J33" s="2" t="n"/>
      <c r="K33" s="2" t="n"/>
      <c r="L33" s="2" t="n"/>
    </row>
    <row r="34">
      <c r="A34" s="2" t="n"/>
      <c r="B34" s="2" t="n"/>
      <c r="C34" s="2" t="n"/>
      <c r="D34" s="2" t="n"/>
      <c r="E34" s="2" t="n"/>
      <c r="F34" s="2" t="n"/>
      <c r="G34" s="2" t="n"/>
      <c r="H34" s="2" t="n"/>
      <c r="I34" s="2" t="n"/>
      <c r="J34" s="2" t="n"/>
      <c r="K34" s="2" t="n"/>
      <c r="L34" s="2" t="n"/>
    </row>
    <row r="35">
      <c r="A35" s="2" t="n"/>
      <c r="B35" s="2" t="n"/>
      <c r="C35" s="2" t="n"/>
      <c r="D35" s="2" t="n"/>
      <c r="E35" s="2" t="n"/>
      <c r="F35" s="2" t="n"/>
      <c r="G35" s="2" t="n"/>
      <c r="H35" s="2" t="n"/>
      <c r="I35" s="2" t="n"/>
      <c r="J35" s="2" t="n"/>
      <c r="K35" s="2" t="n"/>
      <c r="L35" s="2" t="n"/>
    </row>
    <row r="36">
      <c r="A36" s="2" t="n"/>
      <c r="B36" s="2" t="n"/>
      <c r="C36" s="2" t="n"/>
      <c r="D36" s="2" t="n"/>
      <c r="E36" s="2" t="n"/>
      <c r="F36" s="2" t="n"/>
      <c r="G36" s="2" t="n"/>
      <c r="H36" s="2" t="n"/>
      <c r="I36" s="2" t="n"/>
      <c r="J36" s="2" t="n"/>
      <c r="K36" s="2" t="n"/>
      <c r="L36" s="2" t="n"/>
    </row>
    <row r="37">
      <c r="A37" s="2" t="n"/>
      <c r="B37" s="2" t="n"/>
      <c r="C37" s="2" t="n"/>
      <c r="D37" s="2" t="n"/>
      <c r="E37" s="2" t="n"/>
      <c r="F37" s="2" t="n"/>
      <c r="G37" s="2" t="n"/>
      <c r="H37" s="2" t="n"/>
      <c r="I37" s="2" t="n"/>
      <c r="J37" s="2" t="n"/>
      <c r="K37" s="2" t="n"/>
      <c r="L37" s="2" t="n"/>
    </row>
    <row r="38">
      <c r="A38" s="2" t="n"/>
      <c r="B38" s="2" t="n"/>
      <c r="C38" s="2" t="n"/>
      <c r="D38" s="2" t="n"/>
      <c r="E38" s="2" t="n"/>
      <c r="F38" s="2" t="n"/>
      <c r="G38" s="2" t="n"/>
      <c r="H38" s="2" t="n"/>
      <c r="I38" s="2" t="n"/>
      <c r="J38" s="2" t="n"/>
      <c r="K38" s="2" t="n"/>
      <c r="L38" s="2" t="n"/>
    </row>
    <row r="39">
      <c r="A39" s="2" t="n"/>
      <c r="B39" s="2" t="n"/>
      <c r="C39" s="2" t="n"/>
      <c r="D39" s="2" t="n"/>
      <c r="E39" s="2" t="n"/>
      <c r="F39" s="2" t="n"/>
      <c r="G39" s="2" t="n"/>
      <c r="H39" s="2" t="n"/>
      <c r="I39" s="2" t="n"/>
      <c r="J39" s="2" t="n"/>
      <c r="K39" s="2" t="n"/>
      <c r="L39" s="2" t="n"/>
    </row>
    <row r="40">
      <c r="A40" s="2" t="n"/>
      <c r="B40" s="2" t="n"/>
      <c r="C40" s="2" t="n"/>
      <c r="D40" s="2" t="n"/>
      <c r="E40" s="2" t="n"/>
      <c r="F40" s="2" t="n"/>
      <c r="G40" s="2" t="n"/>
      <c r="H40" s="2" t="n"/>
      <c r="I40" s="2" t="n"/>
      <c r="J40" s="2" t="n"/>
      <c r="K40" s="2" t="n"/>
      <c r="L40" s="2" t="n"/>
    </row>
    <row r="41">
      <c r="A41" s="2" t="n"/>
      <c r="B41" s="2" t="n"/>
      <c r="C41" s="2" t="n"/>
      <c r="D41" s="2" t="n"/>
      <c r="E41" s="2" t="n"/>
      <c r="F41" s="2" t="n"/>
      <c r="G41" s="2" t="n"/>
      <c r="H41" s="2" t="n"/>
      <c r="I41" s="2" t="n"/>
      <c r="J41" s="2" t="n"/>
      <c r="K41" s="2" t="n"/>
      <c r="L41" s="2" t="n"/>
    </row>
    <row r="42">
      <c r="A42" s="2" t="n"/>
      <c r="B42" s="2" t="n"/>
      <c r="C42" s="2" t="n"/>
      <c r="D42" s="2" t="n"/>
      <c r="E42" s="2" t="n"/>
      <c r="F42" s="2" t="n"/>
      <c r="G42" s="2" t="n"/>
      <c r="H42" s="2" t="n"/>
      <c r="I42" s="2" t="n"/>
      <c r="J42" s="2" t="n"/>
      <c r="K42" s="2" t="n"/>
      <c r="L42" s="2" t="n"/>
    </row>
    <row r="43">
      <c r="A43" s="2" t="n"/>
      <c r="B43" s="2" t="n"/>
      <c r="C43" s="2" t="n"/>
      <c r="D43" s="2" t="n"/>
      <c r="E43" s="2" t="n"/>
      <c r="F43" s="2" t="n"/>
      <c r="G43" s="2" t="n"/>
      <c r="H43" s="2" t="n"/>
      <c r="I43" s="2" t="n"/>
      <c r="J43" s="2" t="n"/>
      <c r="K43" s="2" t="n"/>
      <c r="L43" s="2" t="n"/>
    </row>
    <row r="44">
      <c r="A44" s="2" t="n"/>
      <c r="B44" s="2" t="n"/>
      <c r="C44" s="2" t="n"/>
      <c r="D44" s="2" t="n"/>
      <c r="E44" s="2" t="n"/>
      <c r="F44" s="2" t="n"/>
      <c r="G44" s="2" t="n"/>
      <c r="H44" s="2" t="n"/>
      <c r="I44" s="2" t="n"/>
      <c r="J44" s="2" t="n"/>
      <c r="K44" s="2" t="n"/>
      <c r="L44" s="2" t="n"/>
    </row>
    <row r="45">
      <c r="A45" s="2" t="n"/>
      <c r="B45" s="2" t="n"/>
      <c r="C45" s="2" t="n"/>
      <c r="D45" s="2" t="n"/>
      <c r="E45" s="2" t="n"/>
      <c r="F45" s="2" t="n"/>
      <c r="G45" s="2" t="n"/>
      <c r="H45" s="2" t="n"/>
      <c r="I45" s="2" t="n"/>
      <c r="J45" s="2" t="n"/>
      <c r="K45" s="2" t="n"/>
      <c r="L45" s="2" t="n"/>
    </row>
    <row r="46">
      <c r="A46" s="2" t="n"/>
      <c r="B46" s="2" t="n"/>
      <c r="C46" s="2" t="n"/>
      <c r="D46" s="2" t="n"/>
      <c r="E46" s="2" t="n"/>
      <c r="F46" s="2" t="n"/>
      <c r="G46" s="2" t="n"/>
      <c r="H46" s="2" t="n"/>
      <c r="I46" s="2" t="n"/>
      <c r="J46" s="2" t="n"/>
      <c r="K46" s="2" t="n"/>
      <c r="L46" s="2" t="n"/>
    </row>
    <row r="47">
      <c r="A47" s="2" t="n"/>
      <c r="B47" s="2" t="n"/>
      <c r="C47" s="2" t="n"/>
      <c r="D47" s="2" t="n"/>
      <c r="E47" s="2" t="n"/>
      <c r="F47" s="2" t="n"/>
      <c r="G47" s="2" t="n"/>
      <c r="H47" s="2" t="n"/>
      <c r="I47" s="2" t="n"/>
      <c r="J47" s="2" t="n"/>
      <c r="K47" s="2" t="n"/>
      <c r="L47" s="2" t="n"/>
    </row>
    <row r="48">
      <c r="A48" s="2" t="n"/>
      <c r="B48" s="2" t="n"/>
      <c r="C48" s="2" t="n"/>
      <c r="D48" s="2" t="n"/>
      <c r="E48" s="2" t="n"/>
      <c r="F48" s="2" t="n"/>
      <c r="G48" s="2" t="n"/>
      <c r="H48" s="2" t="n"/>
      <c r="I48" s="2" t="n"/>
      <c r="J48" s="2" t="n"/>
      <c r="K48" s="2" t="n"/>
      <c r="L48" s="2" t="n"/>
    </row>
    <row r="49">
      <c r="A49" s="2" t="n"/>
      <c r="B49" s="2" t="n"/>
      <c r="C49" s="2" t="n"/>
      <c r="D49" s="2" t="n"/>
      <c r="E49" s="2" t="n"/>
      <c r="F49" s="2" t="n"/>
      <c r="G49" s="2" t="n"/>
      <c r="H49" s="2" t="n"/>
      <c r="I49" s="2" t="n"/>
      <c r="J49" s="2" t="n"/>
      <c r="K49" s="2" t="n"/>
      <c r="L49" s="2" t="n"/>
    </row>
    <row r="50">
      <c r="A50" s="2" t="n"/>
      <c r="B50" s="2" t="n"/>
      <c r="C50" s="2" t="n"/>
      <c r="D50" s="2" t="n"/>
      <c r="E50" s="2" t="n"/>
      <c r="F50" s="2" t="n"/>
      <c r="G50" s="2" t="n"/>
      <c r="H50" s="2" t="n"/>
      <c r="I50" s="2" t="n"/>
      <c r="J50" s="2" t="n"/>
      <c r="K50" s="2" t="n"/>
      <c r="L50" s="2" t="n"/>
    </row>
    <row r="51">
      <c r="A51" s="2" t="n"/>
      <c r="B51" s="2" t="n"/>
      <c r="C51" s="2" t="n"/>
      <c r="D51" s="2" t="n"/>
      <c r="E51" s="2" t="n"/>
      <c r="F51" s="2" t="n"/>
      <c r="G51" s="2" t="n"/>
      <c r="H51" s="2" t="n"/>
      <c r="I51" s="2" t="n"/>
      <c r="J51" s="2" t="n"/>
      <c r="K51" s="2" t="n"/>
      <c r="L51" s="2" t="n"/>
    </row>
    <row r="52">
      <c r="A52" s="2" t="n"/>
      <c r="B52" s="2" t="n"/>
      <c r="C52" s="2" t="n"/>
      <c r="D52" s="2" t="n"/>
      <c r="E52" s="2" t="n"/>
      <c r="F52" s="2" t="n"/>
      <c r="G52" s="2" t="n"/>
      <c r="H52" s="2" t="n"/>
      <c r="I52" s="2" t="n"/>
      <c r="J52" s="2" t="n"/>
      <c r="K52" s="2" t="n"/>
      <c r="L52" s="2" t="n"/>
    </row>
    <row r="53">
      <c r="A53" s="2" t="n"/>
      <c r="B53" s="2" t="n"/>
      <c r="C53" s="2" t="n"/>
      <c r="D53" s="2" t="n"/>
      <c r="E53" s="2" t="n"/>
      <c r="F53" s="2" t="n"/>
      <c r="G53" s="2" t="n"/>
      <c r="H53" s="2" t="n"/>
      <c r="I53" s="2" t="n"/>
      <c r="J53" s="2" t="n"/>
      <c r="K53" s="2" t="n"/>
      <c r="L53" s="2" t="n"/>
    </row>
    <row r="54">
      <c r="A54" s="2" t="n"/>
      <c r="B54" s="2" t="n"/>
      <c r="C54" s="2" t="n"/>
      <c r="D54" s="2" t="n"/>
      <c r="E54" s="2" t="n"/>
      <c r="F54" s="2" t="n"/>
      <c r="G54" s="2" t="n"/>
      <c r="H54" s="2" t="n"/>
      <c r="I54" s="2" t="n"/>
      <c r="J54" s="2" t="n"/>
      <c r="K54" s="2" t="n"/>
      <c r="L54" s="2" t="n"/>
    </row>
    <row r="55">
      <c r="A55" s="2" t="n"/>
      <c r="B55" s="2" t="n"/>
      <c r="C55" s="2" t="n"/>
      <c r="D55" s="2" t="n"/>
      <c r="E55" s="2" t="n"/>
      <c r="F55" s="2" t="n"/>
      <c r="G55" s="2" t="n"/>
      <c r="H55" s="2" t="n"/>
      <c r="I55" s="2" t="n"/>
      <c r="J55" s="2" t="n"/>
      <c r="K55" s="2" t="n"/>
      <c r="L55" s="2" t="n"/>
    </row>
    <row r="56">
      <c r="A56" s="2" t="n"/>
      <c r="B56" s="2" t="n"/>
      <c r="C56" s="2" t="n"/>
      <c r="D56" s="2" t="n"/>
      <c r="E56" s="2" t="n"/>
      <c r="F56" s="2" t="n"/>
      <c r="G56" s="2" t="n"/>
      <c r="H56" s="2" t="n"/>
      <c r="I56" s="2" t="n"/>
      <c r="J56" s="2" t="n"/>
      <c r="K56" s="2" t="n"/>
      <c r="L56" s="2" t="n"/>
    </row>
    <row r="57">
      <c r="A57" s="2" t="n"/>
      <c r="B57" s="2" t="n"/>
      <c r="C57" s="2" t="n"/>
      <c r="D57" s="2" t="n"/>
      <c r="E57" s="2" t="n"/>
      <c r="F57" s="2" t="n"/>
      <c r="G57" s="2" t="n"/>
      <c r="H57" s="2" t="n"/>
      <c r="I57" s="2" t="n"/>
      <c r="J57" s="2" t="n"/>
      <c r="K57" s="2" t="n"/>
      <c r="L57" s="2" t="n"/>
    </row>
    <row r="58">
      <c r="A58" s="2" t="n"/>
      <c r="B58" s="2" t="n"/>
      <c r="C58" s="2" t="n"/>
      <c r="D58" s="2" t="n"/>
      <c r="E58" s="2" t="n"/>
      <c r="F58" s="2" t="n"/>
      <c r="G58" s="2" t="n"/>
      <c r="H58" s="2" t="n"/>
      <c r="I58" s="2" t="n"/>
      <c r="J58" s="2" t="n"/>
      <c r="K58" s="2" t="n"/>
      <c r="L58" s="2" t="n"/>
    </row>
    <row r="59">
      <c r="A59" s="2" t="n"/>
      <c r="B59" s="2" t="n"/>
      <c r="C59" s="2" t="n"/>
      <c r="D59" s="2" t="n"/>
      <c r="E59" s="2" t="n"/>
      <c r="F59" s="2" t="n"/>
      <c r="G59" s="2" t="n"/>
      <c r="H59" s="2" t="n"/>
      <c r="I59" s="2" t="n"/>
      <c r="J59" s="2" t="n"/>
      <c r="K59" s="2" t="n"/>
      <c r="L59" s="2" t="n"/>
    </row>
    <row r="60">
      <c r="A60" s="2" t="n"/>
      <c r="B60" s="2" t="n"/>
      <c r="C60" s="2" t="n"/>
      <c r="D60" s="2" t="n"/>
      <c r="E60" s="2" t="n"/>
      <c r="F60" s="2" t="n"/>
      <c r="G60" s="2" t="n"/>
      <c r="H60" s="2" t="n"/>
      <c r="I60" s="2" t="n"/>
      <c r="J60" s="2" t="n"/>
      <c r="K60" s="2" t="n"/>
      <c r="L60" s="2" t="n"/>
    </row>
    <row r="61">
      <c r="A61" s="2" t="n"/>
      <c r="B61" s="2" t="n"/>
      <c r="C61" s="2" t="n"/>
      <c r="D61" s="2" t="n"/>
      <c r="E61" s="2" t="n"/>
      <c r="F61" s="2" t="n"/>
      <c r="G61" s="2" t="n"/>
      <c r="H61" s="2" t="n"/>
      <c r="I61" s="2" t="n"/>
      <c r="J61" s="2" t="n"/>
      <c r="K61" s="2" t="n"/>
      <c r="L61" s="2" t="n"/>
    </row>
    <row r="62">
      <c r="A62" s="2" t="n"/>
      <c r="B62" s="2" t="n"/>
      <c r="C62" s="2" t="n"/>
      <c r="D62" s="2" t="n"/>
      <c r="E62" s="2" t="n"/>
      <c r="F62" s="2" t="n"/>
      <c r="G62" s="2" t="n"/>
      <c r="H62" s="2" t="n"/>
      <c r="I62" s="2" t="n"/>
      <c r="J62" s="2" t="n"/>
      <c r="K62" s="2" t="n"/>
      <c r="L62" s="2" t="n"/>
    </row>
    <row r="63">
      <c r="A63" s="2" t="n"/>
      <c r="B63" s="2" t="n"/>
      <c r="C63" s="2" t="n"/>
      <c r="D63" s="2" t="n"/>
      <c r="E63" s="2" t="n"/>
      <c r="F63" s="2" t="n"/>
      <c r="G63" s="2" t="n"/>
      <c r="H63" s="2" t="n"/>
      <c r="I63" s="2" t="n"/>
      <c r="J63" s="2" t="n"/>
      <c r="K63" s="2" t="n"/>
      <c r="L63" s="2" t="n"/>
    </row>
    <row r="64">
      <c r="A64" s="2" t="n"/>
      <c r="B64" s="2" t="n"/>
      <c r="C64" s="2" t="n"/>
      <c r="D64" s="2" t="n"/>
      <c r="E64" s="2" t="n"/>
      <c r="F64" s="2" t="n"/>
      <c r="G64" s="2" t="n"/>
      <c r="H64" s="2" t="n"/>
      <c r="I64" s="2" t="n"/>
      <c r="J64" s="2" t="n"/>
      <c r="K64" s="2" t="n"/>
      <c r="L64" s="2" t="n"/>
    </row>
    <row r="65">
      <c r="A65" s="2" t="n"/>
      <c r="B65" s="2" t="n"/>
      <c r="C65" s="2" t="n"/>
      <c r="D65" s="2" t="n"/>
      <c r="E65" s="2" t="n"/>
      <c r="F65" s="2" t="n"/>
      <c r="G65" s="2" t="n"/>
      <c r="H65" s="2" t="n"/>
      <c r="I65" s="2" t="n"/>
      <c r="J65" s="2" t="n"/>
      <c r="K65" s="2" t="n"/>
      <c r="L65" s="2" t="n"/>
    </row>
    <row r="66">
      <c r="A66" s="2" t="n"/>
      <c r="B66" s="2" t="n"/>
      <c r="C66" s="2" t="n"/>
      <c r="D66" s="2" t="n"/>
      <c r="E66" s="2" t="n"/>
      <c r="F66" s="2" t="n"/>
      <c r="G66" s="2" t="n"/>
      <c r="H66" s="2" t="n"/>
      <c r="I66" s="2" t="n"/>
      <c r="J66" s="2" t="n"/>
      <c r="K66" s="2" t="n"/>
      <c r="L66" s="2" t="n"/>
    </row>
    <row r="67">
      <c r="A67" s="2" t="n"/>
      <c r="B67" s="2" t="n"/>
      <c r="C67" s="2" t="n"/>
      <c r="D67" s="2" t="n"/>
      <c r="E67" s="2" t="n"/>
      <c r="F67" s="2" t="n"/>
      <c r="G67" s="2" t="n"/>
      <c r="H67" s="2" t="n"/>
      <c r="I67" s="2" t="n"/>
      <c r="J67" s="2" t="n"/>
      <c r="K67" s="2" t="n"/>
      <c r="L67" s="2" t="n"/>
    </row>
    <row r="68">
      <c r="A68" s="2" t="n"/>
      <c r="B68" s="2" t="n"/>
      <c r="C68" s="2" t="n"/>
      <c r="D68" s="2" t="n"/>
      <c r="E68" s="2" t="n"/>
      <c r="F68" s="2" t="n"/>
      <c r="G68" s="2" t="n"/>
      <c r="H68" s="2" t="n"/>
      <c r="I68" s="2" t="n"/>
      <c r="J68" s="2" t="n"/>
      <c r="K68" s="2" t="n"/>
      <c r="L68" s="2" t="n"/>
    </row>
    <row r="69">
      <c r="A69" s="2" t="n"/>
      <c r="B69" s="2" t="n"/>
      <c r="C69" s="2" t="n"/>
      <c r="D69" s="2" t="n"/>
      <c r="E69" s="2" t="n"/>
      <c r="F69" s="2" t="n"/>
      <c r="G69" s="2" t="n"/>
      <c r="H69" s="2" t="n"/>
      <c r="I69" s="2" t="n"/>
      <c r="J69" s="2" t="n"/>
      <c r="K69" s="2" t="n"/>
      <c r="L69" s="2" t="n"/>
    </row>
    <row r="70">
      <c r="A70" s="2" t="n"/>
      <c r="B70" s="2" t="n"/>
      <c r="C70" s="2" t="n"/>
      <c r="D70" s="2" t="n"/>
      <c r="E70" s="2" t="n"/>
      <c r="F70" s="2" t="n"/>
      <c r="G70" s="2" t="n"/>
      <c r="H70" s="2" t="n"/>
      <c r="I70" s="2" t="n"/>
      <c r="J70" s="2" t="n"/>
      <c r="K70" s="2" t="n"/>
      <c r="L70" s="2" t="n"/>
    </row>
    <row r="71">
      <c r="A71" s="2" t="n"/>
      <c r="B71" s="2" t="n"/>
      <c r="C71" s="2" t="n"/>
      <c r="D71" s="2" t="n"/>
      <c r="E71" s="2" t="n"/>
      <c r="F71" s="2" t="n"/>
      <c r="G71" s="2" t="n"/>
      <c r="H71" s="2" t="n"/>
      <c r="I71" s="2" t="n"/>
      <c r="J71" s="2" t="n"/>
      <c r="K71" s="2" t="n"/>
      <c r="L71" s="2" t="n"/>
    </row>
    <row r="72">
      <c r="A72" s="2" t="n"/>
      <c r="B72" s="2" t="n"/>
      <c r="C72" s="2" t="n"/>
      <c r="D72" s="2" t="n"/>
      <c r="E72" s="2" t="n"/>
      <c r="F72" s="2" t="n"/>
      <c r="G72" s="2" t="n"/>
      <c r="H72" s="2" t="n"/>
      <c r="I72" s="2" t="n"/>
      <c r="J72" s="2" t="n"/>
      <c r="K72" s="2" t="n"/>
      <c r="L72" s="2" t="n"/>
    </row>
    <row r="73">
      <c r="A73" s="2" t="n"/>
      <c r="B73" s="2" t="n"/>
      <c r="C73" s="2" t="n"/>
      <c r="D73" s="2" t="n"/>
      <c r="E73" s="2" t="n"/>
      <c r="F73" s="2" t="n"/>
      <c r="G73" s="2" t="n"/>
      <c r="H73" s="2" t="n"/>
      <c r="I73" s="2" t="n"/>
      <c r="J73" s="2" t="n"/>
      <c r="K73" s="2" t="n"/>
      <c r="L73" s="2" t="n"/>
    </row>
    <row r="74">
      <c r="A74" s="2" t="n"/>
      <c r="B74" s="2" t="n"/>
      <c r="C74" s="2" t="n"/>
      <c r="D74" s="2" t="n"/>
      <c r="E74" s="2" t="n"/>
      <c r="F74" s="2" t="n"/>
      <c r="G74" s="2" t="n"/>
      <c r="H74" s="2" t="n"/>
      <c r="I74" s="2" t="n"/>
      <c r="J74" s="2" t="n"/>
      <c r="K74" s="2" t="n"/>
      <c r="L74" s="2" t="n"/>
    </row>
    <row r="75">
      <c r="A75" s="2" t="n"/>
      <c r="B75" s="2" t="n"/>
      <c r="C75" s="2" t="n"/>
      <c r="D75" s="2" t="n"/>
      <c r="E75" s="2" t="n"/>
      <c r="F75" s="2" t="n"/>
      <c r="G75" s="2" t="n"/>
      <c r="H75" s="2" t="n"/>
      <c r="I75" s="2" t="n"/>
      <c r="J75" s="2" t="n"/>
      <c r="K75" s="2" t="n"/>
      <c r="L75" s="2" t="n"/>
    </row>
    <row r="76">
      <c r="A76" s="2" t="n"/>
      <c r="B76" s="2" t="n"/>
      <c r="C76" s="2" t="n"/>
      <c r="D76" s="2" t="n"/>
      <c r="E76" s="2" t="n"/>
      <c r="F76" s="2" t="n"/>
      <c r="G76" s="2" t="n"/>
      <c r="H76" s="2" t="n"/>
      <c r="I76" s="2" t="n"/>
      <c r="J76" s="2" t="n"/>
      <c r="K76" s="2" t="n"/>
      <c r="L76" s="2" t="n"/>
    </row>
    <row r="77">
      <c r="A77" s="2" t="n"/>
      <c r="B77" s="2" t="n"/>
      <c r="C77" s="2" t="n"/>
      <c r="D77" s="2" t="n"/>
      <c r="E77" s="2" t="n"/>
      <c r="F77" s="2" t="n"/>
      <c r="G77" s="2" t="n"/>
      <c r="H77" s="2" t="n"/>
      <c r="I77" s="2" t="n"/>
      <c r="J77" s="2" t="n"/>
      <c r="K77" s="2" t="n"/>
      <c r="L77" s="2" t="n"/>
    </row>
    <row r="78">
      <c r="A78" s="2" t="n"/>
      <c r="B78" s="2" t="n"/>
      <c r="C78" s="2" t="n"/>
      <c r="D78" s="2" t="n"/>
      <c r="E78" s="2" t="n"/>
      <c r="F78" s="2" t="n"/>
      <c r="G78" s="2" t="n"/>
      <c r="H78" s="2" t="n"/>
      <c r="I78" s="2" t="n"/>
      <c r="J78" s="2" t="n"/>
      <c r="K78" s="2" t="n"/>
      <c r="L78" s="2" t="n"/>
    </row>
    <row r="79">
      <c r="A79" s="2" t="n"/>
      <c r="B79" s="2" t="n"/>
      <c r="C79" s="2" t="n"/>
      <c r="D79" s="2" t="n"/>
      <c r="E79" s="2" t="n"/>
      <c r="F79" s="2" t="n"/>
      <c r="G79" s="2" t="n"/>
      <c r="H79" s="2" t="n"/>
      <c r="I79" s="2" t="n"/>
      <c r="J79" s="2" t="n"/>
      <c r="K79" s="2" t="n"/>
      <c r="L79" s="2" t="n"/>
    </row>
    <row r="80">
      <c r="A80" s="2" t="n"/>
      <c r="B80" s="2" t="n"/>
      <c r="C80" s="2" t="n"/>
      <c r="D80" s="2" t="n"/>
      <c r="E80" s="2" t="n"/>
      <c r="F80" s="2" t="n"/>
      <c r="G80" s="2" t="n"/>
      <c r="H80" s="2" t="n"/>
      <c r="I80" s="2" t="n"/>
      <c r="J80" s="2" t="n"/>
      <c r="K80" s="2" t="n"/>
      <c r="L80" s="2" t="n"/>
    </row>
    <row r="81">
      <c r="A81" s="2" t="n"/>
      <c r="B81" s="2" t="n"/>
      <c r="C81" s="2" t="n"/>
      <c r="D81" s="2" t="n"/>
      <c r="E81" s="2" t="n"/>
      <c r="F81" s="2" t="n"/>
      <c r="G81" s="2" t="n"/>
      <c r="H81" s="2" t="n"/>
      <c r="I81" s="2" t="n"/>
      <c r="J81" s="2" t="n"/>
      <c r="K81" s="2" t="n"/>
      <c r="L81" s="2" t="n"/>
    </row>
    <row r="82">
      <c r="A82" s="2" t="n"/>
      <c r="B82" s="2" t="n"/>
      <c r="C82" s="2" t="n"/>
      <c r="D82" s="2" t="n"/>
      <c r="E82" s="2" t="n"/>
      <c r="F82" s="2" t="n"/>
      <c r="G82" s="2" t="n"/>
      <c r="H82" s="2" t="n"/>
      <c r="I82" s="2" t="n"/>
      <c r="J82" s="2" t="n"/>
      <c r="K82" s="2" t="n"/>
      <c r="L82" s="2" t="n"/>
    </row>
    <row r="83">
      <c r="A83" s="2" t="n"/>
      <c r="B83" s="2" t="n"/>
      <c r="C83" s="2" t="n"/>
      <c r="D83" s="2" t="n"/>
      <c r="E83" s="2" t="n"/>
      <c r="F83" s="2" t="n"/>
      <c r="G83" s="2" t="n"/>
      <c r="H83" s="2" t="n"/>
      <c r="I83" s="2" t="n"/>
      <c r="J83" s="2" t="n"/>
      <c r="K83" s="2" t="n"/>
      <c r="L83" s="2" t="n"/>
    </row>
    <row r="84">
      <c r="A84" s="2" t="n"/>
      <c r="B84" s="2" t="n"/>
      <c r="C84" s="2" t="n"/>
      <c r="D84" s="2" t="n"/>
      <c r="E84" s="2" t="n"/>
      <c r="F84" s="2" t="n"/>
      <c r="G84" s="2" t="n"/>
      <c r="H84" s="2" t="n"/>
      <c r="I84" s="2" t="n"/>
      <c r="J84" s="2" t="n"/>
      <c r="K84" s="2" t="n"/>
      <c r="L84" s="2" t="n"/>
    </row>
    <row r="85">
      <c r="A85" s="2" t="n"/>
      <c r="B85" s="2" t="n"/>
      <c r="C85" s="2" t="n"/>
      <c r="D85" s="2" t="n"/>
      <c r="E85" s="2" t="n"/>
      <c r="F85" s="2" t="n"/>
      <c r="G85" s="2" t="n"/>
      <c r="H85" s="2" t="n"/>
      <c r="I85" s="2" t="n"/>
      <c r="J85" s="2" t="n"/>
      <c r="K85" s="2" t="n"/>
      <c r="L85" s="2" t="n"/>
    </row>
    <row r="86">
      <c r="A86" s="2" t="n"/>
      <c r="B86" s="2" t="n"/>
      <c r="C86" s="2" t="n"/>
      <c r="D86" s="2" t="n"/>
      <c r="E86" s="2" t="n"/>
      <c r="F86" s="2" t="n"/>
      <c r="G86" s="2" t="n"/>
      <c r="H86" s="2" t="n"/>
      <c r="I86" s="2" t="n"/>
      <c r="J86" s="2" t="n"/>
      <c r="K86" s="2" t="n"/>
      <c r="L86" s="2" t="n"/>
    </row>
    <row r="87">
      <c r="A87" s="2" t="n"/>
      <c r="B87" s="2" t="n"/>
      <c r="C87" s="2" t="n"/>
      <c r="D87" s="2" t="n"/>
      <c r="E87" s="2" t="n"/>
      <c r="F87" s="2" t="n"/>
      <c r="G87" s="2" t="n"/>
      <c r="H87" s="2" t="n"/>
      <c r="I87" s="2" t="n"/>
      <c r="J87" s="2" t="n"/>
      <c r="K87" s="2" t="n"/>
      <c r="L87" s="2" t="n"/>
    </row>
    <row r="88">
      <c r="A88" s="2" t="n"/>
      <c r="B88" s="2" t="n"/>
      <c r="C88" s="2" t="n"/>
      <c r="D88" s="2" t="n"/>
      <c r="E88" s="2" t="n"/>
      <c r="F88" s="2" t="n"/>
      <c r="G88" s="2" t="n"/>
      <c r="H88" s="2" t="n"/>
      <c r="I88" s="2" t="n"/>
      <c r="J88" s="2" t="n"/>
      <c r="K88" s="2" t="n"/>
      <c r="L88" s="2" t="n"/>
    </row>
    <row r="89">
      <c r="A89" s="2" t="n"/>
      <c r="B89" s="2" t="n"/>
      <c r="C89" s="2" t="n"/>
      <c r="D89" s="2" t="n"/>
      <c r="E89" s="2" t="n"/>
      <c r="F89" s="2" t="n"/>
      <c r="G89" s="2" t="n"/>
      <c r="H89" s="2" t="n"/>
      <c r="I89" s="2" t="n"/>
      <c r="J89" s="2" t="n"/>
      <c r="K89" s="2" t="n"/>
      <c r="L89" s="2" t="n"/>
    </row>
    <row r="90">
      <c r="A90" s="2" t="n"/>
      <c r="B90" s="2" t="n"/>
      <c r="C90" s="2" t="n"/>
      <c r="D90" s="2" t="n"/>
      <c r="E90" s="2" t="n"/>
      <c r="F90" s="2" t="n"/>
      <c r="G90" s="2" t="n"/>
      <c r="H90" s="2" t="n"/>
      <c r="I90" s="2" t="n"/>
      <c r="J90" s="2" t="n"/>
      <c r="K90" s="2" t="n"/>
      <c r="L90" s="2" t="n"/>
    </row>
    <row r="91">
      <c r="A91" s="2" t="n"/>
      <c r="B91" s="2" t="n"/>
      <c r="C91" s="2" t="n"/>
      <c r="D91" s="2" t="n"/>
      <c r="E91" s="2" t="n"/>
      <c r="F91" s="2" t="n"/>
      <c r="G91" s="2" t="n"/>
      <c r="H91" s="2" t="n"/>
      <c r="I91" s="2" t="n"/>
      <c r="J91" s="2" t="n"/>
      <c r="K91" s="2" t="n"/>
      <c r="L91" s="2" t="n"/>
    </row>
    <row r="92">
      <c r="A92" s="2" t="n"/>
      <c r="B92" s="2" t="n"/>
      <c r="C92" s="2" t="n"/>
      <c r="D92" s="2" t="n"/>
      <c r="E92" s="2" t="n"/>
      <c r="F92" s="2" t="n"/>
      <c r="G92" s="2" t="n"/>
      <c r="H92" s="2" t="n"/>
      <c r="I92" s="2" t="n"/>
      <c r="J92" s="2" t="n"/>
      <c r="K92" s="2" t="n"/>
      <c r="L92" s="2" t="n"/>
    </row>
    <row r="93">
      <c r="A93" s="2" t="n"/>
      <c r="B93" s="2" t="n"/>
      <c r="C93" s="2" t="n"/>
      <c r="D93" s="2" t="n"/>
      <c r="E93" s="2" t="n"/>
      <c r="F93" s="2" t="n"/>
      <c r="G93" s="2" t="n"/>
      <c r="H93" s="2" t="n"/>
      <c r="I93" s="2" t="n"/>
      <c r="J93" s="2" t="n"/>
      <c r="K93" s="2" t="n"/>
      <c r="L93" s="2" t="n"/>
    </row>
    <row r="94">
      <c r="A94" s="2" t="n"/>
      <c r="B94" s="2" t="n"/>
      <c r="C94" s="2" t="n"/>
      <c r="D94" s="2" t="n"/>
      <c r="E94" s="2" t="n"/>
      <c r="F94" s="2" t="n"/>
      <c r="G94" s="2" t="n"/>
      <c r="H94" s="2" t="n"/>
      <c r="I94" s="2" t="n"/>
      <c r="J94" s="2" t="n"/>
      <c r="K94" s="2" t="n"/>
      <c r="L94" s="2" t="n"/>
    </row>
    <row r="95">
      <c r="A95" s="2" t="n"/>
      <c r="B95" s="2" t="n"/>
      <c r="C95" s="2" t="n"/>
      <c r="D95" s="2" t="n"/>
      <c r="E95" s="2" t="n"/>
      <c r="F95" s="2" t="n"/>
      <c r="G95" s="2" t="n"/>
      <c r="H95" s="2" t="n"/>
      <c r="I95" s="2" t="n"/>
      <c r="J95" s="2" t="n"/>
      <c r="K95" s="2" t="n"/>
      <c r="L95" s="2" t="n"/>
    </row>
    <row r="96">
      <c r="A96" s="2" t="n"/>
      <c r="B96" s="2" t="n"/>
      <c r="C96" s="2" t="n"/>
      <c r="D96" s="2" t="n"/>
      <c r="E96" s="2" t="n"/>
      <c r="F96" s="2" t="n"/>
      <c r="G96" s="2" t="n"/>
      <c r="H96" s="2" t="n"/>
      <c r="I96" s="2" t="n"/>
      <c r="J96" s="2" t="n"/>
      <c r="K96" s="2" t="n"/>
      <c r="L96" s="2" t="n"/>
    </row>
    <row r="97">
      <c r="A97" s="2" t="n"/>
      <c r="B97" s="2" t="n"/>
      <c r="C97" s="2" t="n"/>
      <c r="D97" s="2" t="n"/>
      <c r="E97" s="2" t="n"/>
      <c r="F97" s="2" t="n"/>
      <c r="G97" s="2" t="n"/>
      <c r="H97" s="2" t="n"/>
      <c r="I97" s="2" t="n"/>
      <c r="J97" s="2" t="n"/>
      <c r="K97" s="2" t="n"/>
      <c r="L97" s="2" t="n"/>
    </row>
    <row r="98">
      <c r="A98" s="2" t="n"/>
      <c r="B98" s="2" t="n"/>
      <c r="C98" s="2" t="n"/>
      <c r="D98" s="2" t="n"/>
      <c r="E98" s="2" t="n"/>
      <c r="F98" s="2" t="n"/>
      <c r="G98" s="2" t="n"/>
      <c r="H98" s="2" t="n"/>
      <c r="I98" s="2" t="n"/>
      <c r="J98" s="2" t="n"/>
      <c r="K98" s="2" t="n"/>
      <c r="L98" s="2" t="n"/>
    </row>
    <row r="99">
      <c r="A99" s="2" t="n"/>
      <c r="B99" s="2" t="n"/>
      <c r="C99" s="2" t="n"/>
      <c r="D99" s="2" t="n"/>
      <c r="E99" s="2" t="n"/>
      <c r="F99" s="2" t="n"/>
      <c r="G99" s="2" t="n"/>
      <c r="H99" s="2" t="n"/>
      <c r="I99" s="2" t="n"/>
      <c r="J99" s="2" t="n"/>
      <c r="K99" s="2" t="n"/>
      <c r="L99" s="2" t="n"/>
    </row>
    <row r="100">
      <c r="A100" s="2" t="n"/>
      <c r="B100" s="2" t="n"/>
      <c r="C100" s="2" t="n"/>
      <c r="D100" s="2" t="n"/>
      <c r="E100" s="2" t="n"/>
      <c r="F100" s="2" t="n"/>
      <c r="G100" s="2" t="n"/>
      <c r="H100" s="2" t="n"/>
      <c r="I100" s="2" t="n"/>
      <c r="J100" s="2" t="n"/>
      <c r="K100" s="2" t="n"/>
      <c r="L100" s="2" t="n"/>
    </row>
    <row r="101">
      <c r="A101" s="2" t="n"/>
      <c r="B101" s="2" t="n"/>
      <c r="C101" s="2" t="n"/>
      <c r="D101" s="2" t="n"/>
      <c r="E101" s="2" t="n"/>
      <c r="F101" s="2" t="n"/>
      <c r="G101" s="2" t="n"/>
      <c r="H101" s="2" t="n"/>
      <c r="I101" s="2" t="n"/>
      <c r="J101" s="2" t="n"/>
      <c r="K101" s="2" t="n"/>
      <c r="L101" s="2" t="n"/>
    </row>
    <row r="102">
      <c r="A102" s="2" t="n"/>
      <c r="B102" s="2" t="n"/>
      <c r="C102" s="2" t="n"/>
      <c r="D102" s="2" t="n"/>
      <c r="E102" s="2" t="n"/>
      <c r="F102" s="2" t="n"/>
      <c r="G102" s="2" t="n"/>
      <c r="H102" s="2" t="n"/>
      <c r="I102" s="2" t="n"/>
      <c r="J102" s="2" t="n"/>
      <c r="K102" s="2" t="n"/>
      <c r="L102" s="2" t="n"/>
    </row>
    <row r="103">
      <c r="A103" s="2" t="n"/>
      <c r="B103" s="2" t="n"/>
      <c r="C103" s="2" t="n"/>
      <c r="D103" s="2" t="n"/>
      <c r="E103" s="2" t="n"/>
      <c r="F103" s="2" t="n"/>
      <c r="G103" s="2" t="n"/>
      <c r="H103" s="2" t="n"/>
      <c r="I103" s="2" t="n"/>
      <c r="J103" s="2" t="n"/>
      <c r="K103" s="2" t="n"/>
      <c r="L103" s="2" t="n"/>
    </row>
    <row r="104">
      <c r="A104" s="2" t="n"/>
      <c r="B104" s="2" t="n"/>
      <c r="C104" s="2" t="n"/>
      <c r="D104" s="2" t="n"/>
      <c r="E104" s="2" t="n"/>
      <c r="F104" s="2" t="n"/>
      <c r="G104" s="2" t="n"/>
      <c r="H104" s="2" t="n"/>
      <c r="I104" s="2" t="n"/>
      <c r="J104" s="2" t="n"/>
      <c r="K104" s="2" t="n"/>
      <c r="L104" s="2" t="n"/>
    </row>
    <row r="105">
      <c r="A105" s="2" t="n"/>
      <c r="B105" s="2" t="n"/>
      <c r="C105" s="2" t="n"/>
      <c r="D105" s="2" t="n"/>
      <c r="E105" s="2" t="n"/>
      <c r="F105" s="2" t="n"/>
      <c r="G105" s="2" t="n"/>
      <c r="H105" s="2" t="n"/>
      <c r="I105" s="2" t="n"/>
      <c r="J105" s="2" t="n"/>
      <c r="K105" s="2" t="n"/>
      <c r="L105" s="2" t="n"/>
    </row>
    <row r="106">
      <c r="A106" s="2" t="n"/>
      <c r="B106" s="2" t="n"/>
      <c r="C106" s="2" t="n"/>
      <c r="D106" s="2" t="n"/>
      <c r="E106" s="2" t="n"/>
      <c r="F106" s="2" t="n"/>
      <c r="G106" s="2" t="n"/>
      <c r="H106" s="2" t="n"/>
      <c r="I106" s="2" t="n"/>
      <c r="J106" s="2" t="n"/>
      <c r="K106" s="2" t="n"/>
      <c r="L106" s="2" t="n"/>
    </row>
    <row r="107">
      <c r="A107" s="2" t="n"/>
      <c r="B107" s="2" t="n"/>
      <c r="C107" s="2" t="n"/>
      <c r="D107" s="2" t="n"/>
      <c r="E107" s="2" t="n"/>
      <c r="F107" s="2" t="n"/>
      <c r="G107" s="2" t="n"/>
      <c r="H107" s="2" t="n"/>
      <c r="I107" s="2" t="n"/>
      <c r="J107" s="2" t="n"/>
      <c r="K107" s="2" t="n"/>
      <c r="L107" s="2" t="n"/>
    </row>
    <row r="108">
      <c r="A108" s="2" t="n"/>
      <c r="B108" s="2" t="n"/>
      <c r="C108" s="2" t="n"/>
      <c r="D108" s="2" t="n"/>
      <c r="E108" s="2" t="n"/>
      <c r="F108" s="2" t="n"/>
      <c r="G108" s="2" t="n"/>
      <c r="H108" s="2" t="n"/>
      <c r="I108" s="2" t="n"/>
      <c r="J108" s="2" t="n"/>
      <c r="K108" s="2" t="n"/>
      <c r="L108" s="2" t="n"/>
    </row>
    <row r="109">
      <c r="A109" s="2" t="n"/>
      <c r="B109" s="2" t="n"/>
      <c r="C109" s="2" t="n"/>
      <c r="D109" s="2" t="n"/>
      <c r="E109" s="2" t="n"/>
      <c r="F109" s="2" t="n"/>
      <c r="G109" s="2" t="n"/>
      <c r="H109" s="2" t="n"/>
      <c r="I109" s="2" t="n"/>
      <c r="J109" s="2" t="n"/>
      <c r="K109" s="2" t="n"/>
      <c r="L109" s="2" t="n"/>
    </row>
    <row r="110">
      <c r="A110" s="2" t="n"/>
      <c r="B110" s="2" t="n"/>
      <c r="C110" s="2" t="n"/>
      <c r="D110" s="2" t="n"/>
      <c r="E110" s="2" t="n"/>
      <c r="F110" s="2" t="n"/>
      <c r="G110" s="2" t="n"/>
      <c r="H110" s="2" t="n"/>
      <c r="I110" s="2" t="n"/>
      <c r="J110" s="2" t="n"/>
      <c r="K110" s="2" t="n"/>
      <c r="L110" s="2" t="n"/>
    </row>
    <row r="111">
      <c r="A111" s="2" t="n"/>
      <c r="B111" s="2" t="n"/>
      <c r="C111" s="2" t="n"/>
      <c r="D111" s="2" t="n"/>
      <c r="E111" s="2" t="n"/>
      <c r="F111" s="2" t="n"/>
      <c r="G111" s="2" t="n"/>
      <c r="H111" s="2" t="n"/>
      <c r="I111" s="2" t="n"/>
      <c r="J111" s="2" t="n"/>
      <c r="K111" s="2" t="n"/>
      <c r="L111" s="2" t="n"/>
    </row>
    <row r="112">
      <c r="A112" s="2" t="n"/>
      <c r="B112" s="2" t="n"/>
      <c r="C112" s="2" t="n"/>
      <c r="D112" s="2" t="n"/>
      <c r="E112" s="2" t="n"/>
      <c r="F112" s="2" t="n"/>
      <c r="G112" s="2" t="n"/>
      <c r="H112" s="2" t="n"/>
      <c r="I112" s="2" t="n"/>
      <c r="J112" s="2" t="n"/>
      <c r="K112" s="2" t="n"/>
      <c r="L112" s="2" t="n"/>
    </row>
    <row r="113">
      <c r="A113" s="2" t="n"/>
      <c r="B113" s="2" t="n"/>
      <c r="C113" s="2" t="n"/>
      <c r="D113" s="2" t="n"/>
      <c r="E113" s="2" t="n"/>
      <c r="F113" s="2" t="n"/>
      <c r="G113" s="2" t="n"/>
      <c r="H113" s="2" t="n"/>
      <c r="I113" s="2" t="n"/>
      <c r="J113" s="2" t="n"/>
      <c r="K113" s="2" t="n"/>
      <c r="L113" s="2" t="n"/>
    </row>
    <row r="114">
      <c r="A114" s="2" t="n"/>
      <c r="B114" s="2" t="n"/>
      <c r="C114" s="2" t="n"/>
      <c r="D114" s="2" t="n"/>
      <c r="E114" s="2" t="n"/>
      <c r="F114" s="2" t="n"/>
      <c r="G114" s="2" t="n"/>
      <c r="H114" s="2" t="n"/>
      <c r="I114" s="2" t="n"/>
      <c r="J114" s="2" t="n"/>
      <c r="K114" s="2" t="n"/>
      <c r="L114" s="2" t="n"/>
    </row>
    <row r="115">
      <c r="A115" s="2" t="n"/>
      <c r="B115" s="2" t="n"/>
      <c r="C115" s="2" t="n"/>
      <c r="D115" s="2" t="n"/>
      <c r="E115" s="2" t="n"/>
      <c r="F115" s="2" t="n"/>
      <c r="G115" s="2" t="n"/>
      <c r="H115" s="2" t="n"/>
      <c r="I115" s="2" t="n"/>
      <c r="J115" s="2" t="n"/>
      <c r="K115" s="2" t="n"/>
      <c r="L115" s="2" t="n"/>
    </row>
    <row r="116">
      <c r="A116" s="2" t="n"/>
      <c r="B116" s="2" t="n"/>
      <c r="C116" s="2" t="n"/>
      <c r="D116" s="2" t="n"/>
      <c r="E116" s="2" t="n"/>
      <c r="F116" s="2" t="n"/>
      <c r="G116" s="2" t="n"/>
      <c r="H116" s="2" t="n"/>
      <c r="I116" s="2" t="n"/>
      <c r="J116" s="2" t="n"/>
      <c r="K116" s="2" t="n"/>
      <c r="L116" s="2" t="n"/>
    </row>
    <row r="117">
      <c r="A117" s="2" t="n"/>
      <c r="B117" s="2" t="n"/>
      <c r="C117" s="2" t="n"/>
      <c r="D117" s="2" t="n"/>
      <c r="E117" s="2" t="n"/>
      <c r="F117" s="2" t="n"/>
      <c r="G117" s="2" t="n"/>
      <c r="H117" s="2" t="n"/>
      <c r="I117" s="2" t="n"/>
      <c r="J117" s="2" t="n"/>
      <c r="K117" s="2" t="n"/>
      <c r="L117" s="2" t="n"/>
    </row>
    <row r="118">
      <c r="A118" s="2" t="n"/>
      <c r="B118" s="2" t="n"/>
      <c r="C118" s="2" t="n"/>
      <c r="D118" s="2" t="n"/>
      <c r="E118" s="2" t="n"/>
      <c r="F118" s="2" t="n"/>
      <c r="G118" s="2" t="n"/>
      <c r="H118" s="2" t="n"/>
      <c r="I118" s="2" t="n"/>
      <c r="J118" s="2" t="n"/>
      <c r="K118" s="2" t="n"/>
      <c r="L118" s="2" t="n"/>
    </row>
    <row r="119">
      <c r="A119" s="2" t="n"/>
      <c r="B119" s="2" t="n"/>
      <c r="C119" s="2" t="n"/>
      <c r="D119" s="2" t="n"/>
      <c r="E119" s="2" t="n"/>
      <c r="F119" s="2" t="n"/>
      <c r="G119" s="2" t="n"/>
      <c r="H119" s="2" t="n"/>
      <c r="I119" s="2" t="n"/>
      <c r="J119" s="2" t="n"/>
      <c r="K119" s="2" t="n"/>
      <c r="L119" s="2" t="n"/>
    </row>
    <row r="120">
      <c r="A120" s="2" t="n"/>
      <c r="B120" s="2" t="n"/>
      <c r="C120" s="2" t="n"/>
      <c r="D120" s="2" t="n"/>
      <c r="E120" s="2" t="n"/>
      <c r="F120" s="2" t="n"/>
      <c r="G120" s="2" t="n"/>
      <c r="H120" s="2" t="n"/>
      <c r="I120" s="2" t="n"/>
      <c r="J120" s="2" t="n"/>
      <c r="K120" s="2" t="n"/>
      <c r="L120" s="2" t="n"/>
    </row>
  </sheetData>
  <mergeCells count="3">
    <mergeCell ref="A1:J1"/>
    <mergeCell ref="A18:J18"/>
    <mergeCell ref="A2:J2"/>
  </mergeCells>
  <conditionalFormatting sqref="H5:H104">
    <cfRule type="cellIs" priority="1" operator="equal" dxfId="3">
      <formula>"Yes"</formula>
    </cfRule>
    <cfRule type="cellIs" priority="2" operator="equal" dxfId="4">
      <formula>"No"</formula>
    </cfRule>
  </conditionalFormatting>
  <dataValidations count="3">
    <dataValidation sqref="C5:C104" showDropDown="0" showInputMessage="0" showErrorMessage="0" allowBlank="0" type="list">
      <formula1>"Fitness,Health,Mindset,Focus,Business,Social,Other"</formula1>
    </dataValidation>
    <dataValidation sqref="D5:D104" showDropDown="0" showInputMessage="0" showErrorMessage="0" allowBlank="0" type="list">
      <formula1>"Daily,Weekdays,Weekends,3x/week,Weekly"</formula1>
    </dataValidation>
    <dataValidation sqref="H5:H104"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tabColor rgb="0010B981"/>
    <outlinePr summaryBelow="1" summaryRight="1"/>
    <pageSetUpPr/>
  </sheetPr>
  <dimension ref="A1:Y3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0"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s>
  <sheetData>
    <row r="1" ht="46" customHeight="1">
      <c r="A1" s="73" t="inlineStr">
        <is>
          <t xml:space="preserve">   ✅  Daily Check-In</t>
        </is>
      </c>
      <c r="U1" s="2" t="n"/>
      <c r="V1" s="2" t="n"/>
    </row>
    <row r="2" ht="18" customHeight="1">
      <c r="A2" s="74" t="inlineStr">
        <is>
          <t>Mark each habit daily. XP earns automatically. Momentum never resets.</t>
        </is>
      </c>
      <c r="U2" s="2" t="n"/>
      <c r="V2" s="2" t="n"/>
    </row>
    <row r="3" ht="6" customHeight="1">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row>
    <row r="4" ht="32" customHeight="1">
      <c r="A4" s="75" t="inlineStr">
        <is>
          <t>HABIT</t>
        </is>
      </c>
      <c r="B4" s="76" t="inlineStr">
        <is>
          <t>⚡ XP/Habit</t>
        </is>
      </c>
      <c r="C4" s="77" t="inlineStr">
        <is>
          <t>🔥 Streak</t>
        </is>
      </c>
      <c r="D4" s="78" t="inlineStr">
        <is>
          <t>Tue
10 Mar</t>
        </is>
      </c>
      <c r="E4" s="78" t="inlineStr">
        <is>
          <t>Wed
11 Mar</t>
        </is>
      </c>
      <c r="F4" s="78" t="inlineStr">
        <is>
          <t>Thu
12 Mar</t>
        </is>
      </c>
      <c r="G4" s="78" t="inlineStr">
        <is>
          <t>Fri
13 Mar</t>
        </is>
      </c>
      <c r="H4" s="79" t="inlineStr">
        <is>
          <t>Sat
14 Mar</t>
        </is>
      </c>
      <c r="I4" s="79" t="inlineStr">
        <is>
          <t>Sun
15 Mar</t>
        </is>
      </c>
      <c r="J4" s="78" t="inlineStr">
        <is>
          <t>Mon
16 Mar</t>
        </is>
      </c>
      <c r="K4" s="78" t="inlineStr">
        <is>
          <t>Tue
17 Mar</t>
        </is>
      </c>
      <c r="L4" s="78" t="inlineStr">
        <is>
          <t>Wed
18 Mar</t>
        </is>
      </c>
      <c r="M4" s="78" t="inlineStr">
        <is>
          <t>Thu
19 Mar</t>
        </is>
      </c>
      <c r="N4" s="78" t="inlineStr">
        <is>
          <t>Fri
20 Mar</t>
        </is>
      </c>
      <c r="O4" s="79" t="inlineStr">
        <is>
          <t>Sat
21 Mar</t>
        </is>
      </c>
      <c r="P4" s="79" t="inlineStr">
        <is>
          <t>Sun
22 Mar</t>
        </is>
      </c>
      <c r="Q4" s="80" t="inlineStr">
        <is>
          <t>Mon
23 Mar</t>
        </is>
      </c>
      <c r="R4" s="2" t="n"/>
      <c r="S4" s="2" t="n"/>
      <c r="T4" s="2" t="n"/>
      <c r="U4" s="2" t="n"/>
      <c r="V4" s="2" t="n"/>
    </row>
    <row r="5" ht="26" customHeight="1">
      <c r="A5" s="81" t="inlineStr">
        <is>
          <t>💧  Drink 8 Glasses of Water</t>
        </is>
      </c>
      <c r="B5" s="82">
        <f>'Habits Setup'!E5</f>
        <v/>
      </c>
      <c r="C5" s="39">
        <f>COUNTIF(D5:Q5,"✅")</f>
        <v/>
      </c>
      <c r="D5" s="83" t="inlineStr">
        <is>
          <t>—</t>
        </is>
      </c>
      <c r="E5" s="83" t="inlineStr">
        <is>
          <t>—</t>
        </is>
      </c>
      <c r="F5" s="83" t="inlineStr">
        <is>
          <t>—</t>
        </is>
      </c>
      <c r="G5" s="83" t="inlineStr">
        <is>
          <t>—</t>
        </is>
      </c>
      <c r="H5" s="83" t="inlineStr">
        <is>
          <t>—</t>
        </is>
      </c>
      <c r="I5" s="83" t="inlineStr">
        <is>
          <t>—</t>
        </is>
      </c>
      <c r="J5" s="83" t="inlineStr">
        <is>
          <t>—</t>
        </is>
      </c>
      <c r="K5" s="83" t="inlineStr">
        <is>
          <t>—</t>
        </is>
      </c>
      <c r="L5" s="83" t="inlineStr">
        <is>
          <t>—</t>
        </is>
      </c>
      <c r="M5" s="83" t="inlineStr">
        <is>
          <t>—</t>
        </is>
      </c>
      <c r="N5" s="83" t="inlineStr">
        <is>
          <t>—</t>
        </is>
      </c>
      <c r="O5" s="83" t="inlineStr">
        <is>
          <t>—</t>
        </is>
      </c>
      <c r="P5" s="83" t="inlineStr">
        <is>
          <t>—</t>
        </is>
      </c>
      <c r="Q5" s="84" t="inlineStr">
        <is>
          <t>—</t>
        </is>
      </c>
      <c r="R5" s="2" t="n"/>
      <c r="S5" s="2" t="n"/>
      <c r="T5" s="2" t="n"/>
      <c r="U5" s="2" t="n"/>
      <c r="V5" s="2" t="n"/>
    </row>
    <row r="6" ht="26" customHeight="1">
      <c r="A6" s="85" t="inlineStr">
        <is>
          <t>🏋️  30-Min Workout</t>
        </is>
      </c>
      <c r="B6" s="82">
        <f>'Habits Setup'!E6</f>
        <v/>
      </c>
      <c r="C6" s="39">
        <f>COUNTIF(D6:Q6,"✅")</f>
        <v/>
      </c>
      <c r="D6" s="86" t="inlineStr">
        <is>
          <t>—</t>
        </is>
      </c>
      <c r="E6" s="86" t="inlineStr">
        <is>
          <t>—</t>
        </is>
      </c>
      <c r="F6" s="86" t="inlineStr">
        <is>
          <t>—</t>
        </is>
      </c>
      <c r="G6" s="86" t="inlineStr">
        <is>
          <t>—</t>
        </is>
      </c>
      <c r="H6" s="86" t="inlineStr">
        <is>
          <t>—</t>
        </is>
      </c>
      <c r="I6" s="86" t="inlineStr">
        <is>
          <t>—</t>
        </is>
      </c>
      <c r="J6" s="86" t="inlineStr">
        <is>
          <t>—</t>
        </is>
      </c>
      <c r="K6" s="86" t="inlineStr">
        <is>
          <t>—</t>
        </is>
      </c>
      <c r="L6" s="86" t="inlineStr">
        <is>
          <t>—</t>
        </is>
      </c>
      <c r="M6" s="86" t="inlineStr">
        <is>
          <t>—</t>
        </is>
      </c>
      <c r="N6" s="86" t="inlineStr">
        <is>
          <t>—</t>
        </is>
      </c>
      <c r="O6" s="86" t="inlineStr">
        <is>
          <t>—</t>
        </is>
      </c>
      <c r="P6" s="86" t="inlineStr">
        <is>
          <t>—</t>
        </is>
      </c>
      <c r="Q6" s="84" t="inlineStr">
        <is>
          <t>—</t>
        </is>
      </c>
      <c r="R6" s="2" t="n"/>
      <c r="S6" s="2" t="n"/>
      <c r="T6" s="2" t="n"/>
      <c r="U6" s="2" t="n"/>
      <c r="V6" s="2" t="n"/>
    </row>
    <row r="7" ht="26" customHeight="1">
      <c r="A7" s="87" t="inlineStr">
        <is>
          <t>🧘  Meditate 10 Min</t>
        </is>
      </c>
      <c r="B7" s="82">
        <f>'Habits Setup'!E7</f>
        <v/>
      </c>
      <c r="C7" s="39">
        <f>COUNTIF(D7:Q7,"✅")</f>
        <v/>
      </c>
      <c r="D7" s="83" t="inlineStr">
        <is>
          <t>—</t>
        </is>
      </c>
      <c r="E7" s="83" t="inlineStr">
        <is>
          <t>—</t>
        </is>
      </c>
      <c r="F7" s="83" t="inlineStr">
        <is>
          <t>—</t>
        </is>
      </c>
      <c r="G7" s="83" t="inlineStr">
        <is>
          <t>—</t>
        </is>
      </c>
      <c r="H7" s="83" t="inlineStr">
        <is>
          <t>—</t>
        </is>
      </c>
      <c r="I7" s="83" t="inlineStr">
        <is>
          <t>—</t>
        </is>
      </c>
      <c r="J7" s="83" t="inlineStr">
        <is>
          <t>—</t>
        </is>
      </c>
      <c r="K7" s="83" t="inlineStr">
        <is>
          <t>—</t>
        </is>
      </c>
      <c r="L7" s="83" t="inlineStr">
        <is>
          <t>—</t>
        </is>
      </c>
      <c r="M7" s="83" t="inlineStr">
        <is>
          <t>—</t>
        </is>
      </c>
      <c r="N7" s="83" t="inlineStr">
        <is>
          <t>—</t>
        </is>
      </c>
      <c r="O7" s="83" t="inlineStr">
        <is>
          <t>—</t>
        </is>
      </c>
      <c r="P7" s="83" t="inlineStr">
        <is>
          <t>—</t>
        </is>
      </c>
      <c r="Q7" s="84" t="inlineStr">
        <is>
          <t>—</t>
        </is>
      </c>
      <c r="R7" s="2" t="n"/>
      <c r="S7" s="2" t="n"/>
      <c r="T7" s="2" t="n"/>
      <c r="U7" s="2" t="n"/>
      <c r="V7" s="2" t="n"/>
    </row>
    <row r="8" ht="26" customHeight="1">
      <c r="A8" s="88" t="inlineStr">
        <is>
          <t>📚  Read 30 Minutes</t>
        </is>
      </c>
      <c r="B8" s="82">
        <f>'Habits Setup'!E8</f>
        <v/>
      </c>
      <c r="C8" s="39">
        <f>COUNTIF(D8:Q8,"✅")</f>
        <v/>
      </c>
      <c r="D8" s="86" t="inlineStr">
        <is>
          <t>—</t>
        </is>
      </c>
      <c r="E8" s="86" t="inlineStr">
        <is>
          <t>—</t>
        </is>
      </c>
      <c r="F8" s="86" t="inlineStr">
        <is>
          <t>—</t>
        </is>
      </c>
      <c r="G8" s="86" t="inlineStr">
        <is>
          <t>—</t>
        </is>
      </c>
      <c r="H8" s="86" t="inlineStr">
        <is>
          <t>—</t>
        </is>
      </c>
      <c r="I8" s="86" t="inlineStr">
        <is>
          <t>—</t>
        </is>
      </c>
      <c r="J8" s="86" t="inlineStr">
        <is>
          <t>—</t>
        </is>
      </c>
      <c r="K8" s="86" t="inlineStr">
        <is>
          <t>—</t>
        </is>
      </c>
      <c r="L8" s="86" t="inlineStr">
        <is>
          <t>—</t>
        </is>
      </c>
      <c r="M8" s="86" t="inlineStr">
        <is>
          <t>—</t>
        </is>
      </c>
      <c r="N8" s="86" t="inlineStr">
        <is>
          <t>—</t>
        </is>
      </c>
      <c r="O8" s="86" t="inlineStr">
        <is>
          <t>—</t>
        </is>
      </c>
      <c r="P8" s="86" t="inlineStr">
        <is>
          <t>—</t>
        </is>
      </c>
      <c r="Q8" s="84" t="inlineStr">
        <is>
          <t>—</t>
        </is>
      </c>
      <c r="R8" s="2" t="n"/>
      <c r="S8" s="2" t="n"/>
      <c r="T8" s="2" t="n"/>
      <c r="U8" s="2" t="n"/>
      <c r="V8" s="2" t="n"/>
    </row>
    <row r="9" ht="26" customHeight="1">
      <c r="A9" s="87" t="inlineStr">
        <is>
          <t>🚫  No Social Media 1hr AM</t>
        </is>
      </c>
      <c r="B9" s="82">
        <f>'Habits Setup'!E9</f>
        <v/>
      </c>
      <c r="C9" s="39">
        <f>COUNTIF(D9:Q9,"✅")</f>
        <v/>
      </c>
      <c r="D9" s="83" t="inlineStr">
        <is>
          <t>—</t>
        </is>
      </c>
      <c r="E9" s="83" t="inlineStr">
        <is>
          <t>—</t>
        </is>
      </c>
      <c r="F9" s="83" t="inlineStr">
        <is>
          <t>—</t>
        </is>
      </c>
      <c r="G9" s="83" t="inlineStr">
        <is>
          <t>—</t>
        </is>
      </c>
      <c r="H9" s="83" t="inlineStr">
        <is>
          <t>—</t>
        </is>
      </c>
      <c r="I9" s="83" t="inlineStr">
        <is>
          <t>—</t>
        </is>
      </c>
      <c r="J9" s="83" t="inlineStr">
        <is>
          <t>—</t>
        </is>
      </c>
      <c r="K9" s="83" t="inlineStr">
        <is>
          <t>—</t>
        </is>
      </c>
      <c r="L9" s="83" t="inlineStr">
        <is>
          <t>—</t>
        </is>
      </c>
      <c r="M9" s="83" t="inlineStr">
        <is>
          <t>—</t>
        </is>
      </c>
      <c r="N9" s="83" t="inlineStr">
        <is>
          <t>—</t>
        </is>
      </c>
      <c r="O9" s="83" t="inlineStr">
        <is>
          <t>—</t>
        </is>
      </c>
      <c r="P9" s="83" t="inlineStr">
        <is>
          <t>—</t>
        </is>
      </c>
      <c r="Q9" s="84" t="inlineStr">
        <is>
          <t>—</t>
        </is>
      </c>
      <c r="R9" s="2" t="n"/>
      <c r="S9" s="2" t="n"/>
      <c r="T9" s="2" t="n"/>
      <c r="U9" s="2" t="n"/>
      <c r="V9" s="2" t="n"/>
    </row>
    <row r="10" ht="26" customHeight="1">
      <c r="A10" s="89" t="inlineStr">
        <is>
          <t>🙏  Gratitude Journal</t>
        </is>
      </c>
      <c r="B10" s="82">
        <f>'Habits Setup'!E10</f>
        <v/>
      </c>
      <c r="C10" s="39">
        <f>COUNTIF(D10:Q10,"✅")</f>
        <v/>
      </c>
      <c r="D10" s="86" t="inlineStr">
        <is>
          <t>—</t>
        </is>
      </c>
      <c r="E10" s="86" t="inlineStr">
        <is>
          <t>—</t>
        </is>
      </c>
      <c r="F10" s="86" t="inlineStr">
        <is>
          <t>—</t>
        </is>
      </c>
      <c r="G10" s="86" t="inlineStr">
        <is>
          <t>—</t>
        </is>
      </c>
      <c r="H10" s="86" t="inlineStr">
        <is>
          <t>—</t>
        </is>
      </c>
      <c r="I10" s="86" t="inlineStr">
        <is>
          <t>—</t>
        </is>
      </c>
      <c r="J10" s="86" t="inlineStr">
        <is>
          <t>—</t>
        </is>
      </c>
      <c r="K10" s="86" t="inlineStr">
        <is>
          <t>—</t>
        </is>
      </c>
      <c r="L10" s="86" t="inlineStr">
        <is>
          <t>—</t>
        </is>
      </c>
      <c r="M10" s="86" t="inlineStr">
        <is>
          <t>—</t>
        </is>
      </c>
      <c r="N10" s="86" t="inlineStr">
        <is>
          <t>—</t>
        </is>
      </c>
      <c r="O10" s="86" t="inlineStr">
        <is>
          <t>—</t>
        </is>
      </c>
      <c r="P10" s="86" t="inlineStr">
        <is>
          <t>—</t>
        </is>
      </c>
      <c r="Q10" s="84" t="inlineStr">
        <is>
          <t>—</t>
        </is>
      </c>
      <c r="R10" s="2" t="n"/>
      <c r="S10" s="2" t="n"/>
      <c r="T10" s="2" t="n"/>
      <c r="U10" s="2" t="n"/>
      <c r="V10" s="2" t="n"/>
    </row>
    <row r="11" ht="26" customHeight="1">
      <c r="A11" s="90" t="inlineStr">
        <is>
          <t>👟  10,000 Steps</t>
        </is>
      </c>
      <c r="B11" s="82">
        <f>'Habits Setup'!E11</f>
        <v/>
      </c>
      <c r="C11" s="39">
        <f>COUNTIF(D11:Q11,"✅")</f>
        <v/>
      </c>
      <c r="D11" s="83" t="inlineStr">
        <is>
          <t>—</t>
        </is>
      </c>
      <c r="E11" s="83" t="inlineStr">
        <is>
          <t>—</t>
        </is>
      </c>
      <c r="F11" s="83" t="inlineStr">
        <is>
          <t>—</t>
        </is>
      </c>
      <c r="G11" s="83" t="inlineStr">
        <is>
          <t>—</t>
        </is>
      </c>
      <c r="H11" s="83" t="inlineStr">
        <is>
          <t>—</t>
        </is>
      </c>
      <c r="I11" s="83" t="inlineStr">
        <is>
          <t>—</t>
        </is>
      </c>
      <c r="J11" s="83" t="inlineStr">
        <is>
          <t>—</t>
        </is>
      </c>
      <c r="K11" s="83" t="inlineStr">
        <is>
          <t>—</t>
        </is>
      </c>
      <c r="L11" s="83" t="inlineStr">
        <is>
          <t>—</t>
        </is>
      </c>
      <c r="M11" s="83" t="inlineStr">
        <is>
          <t>—</t>
        </is>
      </c>
      <c r="N11" s="83" t="inlineStr">
        <is>
          <t>—</t>
        </is>
      </c>
      <c r="O11" s="83" t="inlineStr">
        <is>
          <t>—</t>
        </is>
      </c>
      <c r="P11" s="83" t="inlineStr">
        <is>
          <t>—</t>
        </is>
      </c>
      <c r="Q11" s="84" t="inlineStr">
        <is>
          <t>—</t>
        </is>
      </c>
      <c r="R11" s="2" t="n"/>
      <c r="S11" s="2" t="n"/>
      <c r="T11" s="2" t="n"/>
      <c r="U11" s="2" t="n"/>
      <c r="V11" s="2" t="n"/>
    </row>
    <row r="12" ht="26" customHeight="1">
      <c r="A12" s="91" t="inlineStr">
        <is>
          <t>😴  Sleep by 11pm</t>
        </is>
      </c>
      <c r="B12" s="82">
        <f>'Habits Setup'!E12</f>
        <v/>
      </c>
      <c r="C12" s="39">
        <f>COUNTIF(D12:Q12,"✅")</f>
        <v/>
      </c>
      <c r="D12" s="86" t="inlineStr">
        <is>
          <t>—</t>
        </is>
      </c>
      <c r="E12" s="86" t="inlineStr">
        <is>
          <t>—</t>
        </is>
      </c>
      <c r="F12" s="86" t="inlineStr">
        <is>
          <t>—</t>
        </is>
      </c>
      <c r="G12" s="86" t="inlineStr">
        <is>
          <t>—</t>
        </is>
      </c>
      <c r="H12" s="86" t="inlineStr">
        <is>
          <t>—</t>
        </is>
      </c>
      <c r="I12" s="86" t="inlineStr">
        <is>
          <t>—</t>
        </is>
      </c>
      <c r="J12" s="86" t="inlineStr">
        <is>
          <t>—</t>
        </is>
      </c>
      <c r="K12" s="86" t="inlineStr">
        <is>
          <t>—</t>
        </is>
      </c>
      <c r="L12" s="86" t="inlineStr">
        <is>
          <t>—</t>
        </is>
      </c>
      <c r="M12" s="86" t="inlineStr">
        <is>
          <t>—</t>
        </is>
      </c>
      <c r="N12" s="86" t="inlineStr">
        <is>
          <t>—</t>
        </is>
      </c>
      <c r="O12" s="86" t="inlineStr">
        <is>
          <t>—</t>
        </is>
      </c>
      <c r="P12" s="86" t="inlineStr">
        <is>
          <t>—</t>
        </is>
      </c>
      <c r="Q12" s="84" t="inlineStr">
        <is>
          <t>—</t>
        </is>
      </c>
      <c r="R12" s="2" t="n"/>
      <c r="S12" s="2" t="n"/>
      <c r="T12" s="2" t="n"/>
      <c r="U12" s="2" t="n"/>
      <c r="V12" s="2" t="n"/>
    </row>
    <row r="13" ht="26" customHeight="1">
      <c r="A13" s="92" t="inlineStr">
        <is>
          <t>💼  Deep Work 2 Hours</t>
        </is>
      </c>
      <c r="B13" s="82">
        <f>'Habits Setup'!E13</f>
        <v/>
      </c>
      <c r="C13" s="39">
        <f>COUNTIF(D13:Q13,"✅")</f>
        <v/>
      </c>
      <c r="D13" s="83" t="inlineStr">
        <is>
          <t>—</t>
        </is>
      </c>
      <c r="E13" s="83" t="inlineStr">
        <is>
          <t>—</t>
        </is>
      </c>
      <c r="F13" s="83" t="inlineStr">
        <is>
          <t>—</t>
        </is>
      </c>
      <c r="G13" s="83" t="inlineStr">
        <is>
          <t>—</t>
        </is>
      </c>
      <c r="H13" s="83" t="inlineStr">
        <is>
          <t>—</t>
        </is>
      </c>
      <c r="I13" s="83" t="inlineStr">
        <is>
          <t>—</t>
        </is>
      </c>
      <c r="J13" s="83" t="inlineStr">
        <is>
          <t>—</t>
        </is>
      </c>
      <c r="K13" s="83" t="inlineStr">
        <is>
          <t>—</t>
        </is>
      </c>
      <c r="L13" s="83" t="inlineStr">
        <is>
          <t>—</t>
        </is>
      </c>
      <c r="M13" s="83" t="inlineStr">
        <is>
          <t>—</t>
        </is>
      </c>
      <c r="N13" s="83" t="inlineStr">
        <is>
          <t>—</t>
        </is>
      </c>
      <c r="O13" s="83" t="inlineStr">
        <is>
          <t>—</t>
        </is>
      </c>
      <c r="P13" s="83" t="inlineStr">
        <is>
          <t>—</t>
        </is>
      </c>
      <c r="Q13" s="84" t="inlineStr">
        <is>
          <t>—</t>
        </is>
      </c>
      <c r="R13" s="2" t="n"/>
      <c r="S13" s="2" t="n"/>
      <c r="T13" s="2" t="n"/>
      <c r="U13" s="2" t="n"/>
      <c r="V13" s="2" t="n"/>
    </row>
    <row r="14" ht="26" customHeight="1">
      <c r="A14" s="93" t="inlineStr">
        <is>
          <t>📞  Connect with Someone</t>
        </is>
      </c>
      <c r="B14" s="82">
        <f>'Habits Setup'!E14</f>
        <v/>
      </c>
      <c r="C14" s="39">
        <f>COUNTIF(D14:Q14,"✅")</f>
        <v/>
      </c>
      <c r="D14" s="86" t="inlineStr">
        <is>
          <t>—</t>
        </is>
      </c>
      <c r="E14" s="86" t="inlineStr">
        <is>
          <t>—</t>
        </is>
      </c>
      <c r="F14" s="86" t="inlineStr">
        <is>
          <t>—</t>
        </is>
      </c>
      <c r="G14" s="86" t="inlineStr">
        <is>
          <t>—</t>
        </is>
      </c>
      <c r="H14" s="86" t="inlineStr">
        <is>
          <t>—</t>
        </is>
      </c>
      <c r="I14" s="86" t="inlineStr">
        <is>
          <t>—</t>
        </is>
      </c>
      <c r="J14" s="86" t="inlineStr">
        <is>
          <t>—</t>
        </is>
      </c>
      <c r="K14" s="86" t="inlineStr">
        <is>
          <t>—</t>
        </is>
      </c>
      <c r="L14" s="86" t="inlineStr">
        <is>
          <t>—</t>
        </is>
      </c>
      <c r="M14" s="86" t="inlineStr">
        <is>
          <t>—</t>
        </is>
      </c>
      <c r="N14" s="86" t="inlineStr">
        <is>
          <t>—</t>
        </is>
      </c>
      <c r="O14" s="86" t="inlineStr">
        <is>
          <t>—</t>
        </is>
      </c>
      <c r="P14" s="86" t="inlineStr">
        <is>
          <t>—</t>
        </is>
      </c>
      <c r="Q14" s="84" t="inlineStr">
        <is>
          <t>—</t>
        </is>
      </c>
      <c r="R14" s="2" t="n"/>
      <c r="S14" s="2" t="n"/>
      <c r="T14" s="2" t="n"/>
      <c r="U14" s="2" t="n"/>
      <c r="V14" s="2" t="n"/>
    </row>
    <row r="15" ht="26" customHeight="1">
      <c r="A15" s="81" t="inlineStr">
        <is>
          <t>🥗  Eat Clean All Day</t>
        </is>
      </c>
      <c r="B15" s="82">
        <f>'Habits Setup'!E15</f>
        <v/>
      </c>
      <c r="C15" s="39">
        <f>COUNTIF(D15:Q15,"✅")</f>
        <v/>
      </c>
      <c r="D15" s="83" t="inlineStr">
        <is>
          <t>—</t>
        </is>
      </c>
      <c r="E15" s="83" t="inlineStr">
        <is>
          <t>—</t>
        </is>
      </c>
      <c r="F15" s="83" t="inlineStr">
        <is>
          <t>—</t>
        </is>
      </c>
      <c r="G15" s="83" t="inlineStr">
        <is>
          <t>—</t>
        </is>
      </c>
      <c r="H15" s="83" t="inlineStr">
        <is>
          <t>—</t>
        </is>
      </c>
      <c r="I15" s="83" t="inlineStr">
        <is>
          <t>—</t>
        </is>
      </c>
      <c r="J15" s="83" t="inlineStr">
        <is>
          <t>—</t>
        </is>
      </c>
      <c r="K15" s="83" t="inlineStr">
        <is>
          <t>—</t>
        </is>
      </c>
      <c r="L15" s="83" t="inlineStr">
        <is>
          <t>—</t>
        </is>
      </c>
      <c r="M15" s="83" t="inlineStr">
        <is>
          <t>—</t>
        </is>
      </c>
      <c r="N15" s="83" t="inlineStr">
        <is>
          <t>—</t>
        </is>
      </c>
      <c r="O15" s="83" t="inlineStr">
        <is>
          <t>—</t>
        </is>
      </c>
      <c r="P15" s="83" t="inlineStr">
        <is>
          <t>—</t>
        </is>
      </c>
      <c r="Q15" s="84" t="inlineStr">
        <is>
          <t>—</t>
        </is>
      </c>
      <c r="R15" s="2" t="n"/>
      <c r="S15" s="2" t="n"/>
      <c r="T15" s="2" t="n"/>
      <c r="U15" s="2" t="n"/>
      <c r="V15" s="2" t="n"/>
    </row>
    <row r="16" ht="26" customHeight="1">
      <c r="A16" s="88" t="inlineStr">
        <is>
          <t>✍️  Write / Journal</t>
        </is>
      </c>
      <c r="B16" s="82">
        <f>'Habits Setup'!E16</f>
        <v/>
      </c>
      <c r="C16" s="39">
        <f>COUNTIF(D16:Q16,"✅")</f>
        <v/>
      </c>
      <c r="D16" s="86" t="inlineStr">
        <is>
          <t>—</t>
        </is>
      </c>
      <c r="E16" s="86" t="inlineStr">
        <is>
          <t>—</t>
        </is>
      </c>
      <c r="F16" s="86" t="inlineStr">
        <is>
          <t>—</t>
        </is>
      </c>
      <c r="G16" s="86" t="inlineStr">
        <is>
          <t>—</t>
        </is>
      </c>
      <c r="H16" s="86" t="inlineStr">
        <is>
          <t>—</t>
        </is>
      </c>
      <c r="I16" s="86" t="inlineStr">
        <is>
          <t>—</t>
        </is>
      </c>
      <c r="J16" s="86" t="inlineStr">
        <is>
          <t>—</t>
        </is>
      </c>
      <c r="K16" s="86" t="inlineStr">
        <is>
          <t>—</t>
        </is>
      </c>
      <c r="L16" s="86" t="inlineStr">
        <is>
          <t>—</t>
        </is>
      </c>
      <c r="M16" s="86" t="inlineStr">
        <is>
          <t>—</t>
        </is>
      </c>
      <c r="N16" s="86" t="inlineStr">
        <is>
          <t>—</t>
        </is>
      </c>
      <c r="O16" s="86" t="inlineStr">
        <is>
          <t>—</t>
        </is>
      </c>
      <c r="P16" s="86" t="inlineStr">
        <is>
          <t>—</t>
        </is>
      </c>
      <c r="Q16" s="84" t="inlineStr">
        <is>
          <t>—</t>
        </is>
      </c>
      <c r="R16" s="2" t="n"/>
      <c r="S16" s="2" t="n"/>
      <c r="T16" s="2" t="n"/>
      <c r="U16" s="2" t="n"/>
      <c r="V16" s="2" t="n"/>
    </row>
    <row r="17" ht="26" customHeight="1">
      <c r="A17" s="94" t="inlineStr">
        <is>
          <t>⚡  XP EARNED TODAY</t>
        </is>
      </c>
      <c r="D17" s="95">
        <f>IF(D5="✅",'Habits Setup'!E5,0)+IF(D6="✅",'Habits Setup'!E6,0)+IF(D7="✅",'Habits Setup'!E7,0)+IF(D8="✅",'Habits Setup'!E8,0)+IF(D9="✅",'Habits Setup'!E9,0)+IF(D10="✅",'Habits Setup'!E10,0)+IF(D11="✅",'Habits Setup'!E11,0)+IF(D12="✅",'Habits Setup'!E12,0)+IF(D13="✅",'Habits Setup'!E13,0)+IF(D14="✅",'Habits Setup'!E14,0)+IF(D15="✅",'Habits Setup'!E15,0)+IF(D16="✅",'Habits Setup'!E16,0)</f>
        <v/>
      </c>
      <c r="E17" s="95">
        <f>IF(E5="✅",'Habits Setup'!E5,0)+IF(E6="✅",'Habits Setup'!E6,0)+IF(E7="✅",'Habits Setup'!E7,0)+IF(E8="✅",'Habits Setup'!E8,0)+IF(E9="✅",'Habits Setup'!E9,0)+IF(E10="✅",'Habits Setup'!E10,0)+IF(E11="✅",'Habits Setup'!E11,0)+IF(E12="✅",'Habits Setup'!E12,0)+IF(E13="✅",'Habits Setup'!E13,0)+IF(E14="✅",'Habits Setup'!E14,0)+IF(E15="✅",'Habits Setup'!E15,0)+IF(E16="✅",'Habits Setup'!E16,0)</f>
        <v/>
      </c>
      <c r="F17" s="95">
        <f>IF(F5="✅",'Habits Setup'!E5,0)+IF(F6="✅",'Habits Setup'!E6,0)+IF(F7="✅",'Habits Setup'!E7,0)+IF(F8="✅",'Habits Setup'!E8,0)+IF(F9="✅",'Habits Setup'!E9,0)+IF(F10="✅",'Habits Setup'!E10,0)+IF(F11="✅",'Habits Setup'!E11,0)+IF(F12="✅",'Habits Setup'!E12,0)+IF(F13="✅",'Habits Setup'!E13,0)+IF(F14="✅",'Habits Setup'!E14,0)+IF(F15="✅",'Habits Setup'!E15,0)+IF(F16="✅",'Habits Setup'!E16,0)</f>
        <v/>
      </c>
      <c r="G17" s="95">
        <f>IF(G5="✅",'Habits Setup'!E5,0)+IF(G6="✅",'Habits Setup'!E6,0)+IF(G7="✅",'Habits Setup'!E7,0)+IF(G8="✅",'Habits Setup'!E8,0)+IF(G9="✅",'Habits Setup'!E9,0)+IF(G10="✅",'Habits Setup'!E10,0)+IF(G11="✅",'Habits Setup'!E11,0)+IF(G12="✅",'Habits Setup'!E12,0)+IF(G13="✅",'Habits Setup'!E13,0)+IF(G14="✅",'Habits Setup'!E14,0)+IF(G15="✅",'Habits Setup'!E15,0)+IF(G16="✅",'Habits Setup'!E16,0)</f>
        <v/>
      </c>
      <c r="H17" s="95">
        <f>IF(H5="✅",'Habits Setup'!E5,0)+IF(H6="✅",'Habits Setup'!E6,0)+IF(H7="✅",'Habits Setup'!E7,0)+IF(H8="✅",'Habits Setup'!E8,0)+IF(H9="✅",'Habits Setup'!E9,0)+IF(H10="✅",'Habits Setup'!E10,0)+IF(H11="✅",'Habits Setup'!E11,0)+IF(H12="✅",'Habits Setup'!E12,0)+IF(H13="✅",'Habits Setup'!E13,0)+IF(H14="✅",'Habits Setup'!E14,0)+IF(H15="✅",'Habits Setup'!E15,0)+IF(H16="✅",'Habits Setup'!E16,0)</f>
        <v/>
      </c>
      <c r="I17" s="95">
        <f>IF(I5="✅",'Habits Setup'!E5,0)+IF(I6="✅",'Habits Setup'!E6,0)+IF(I7="✅",'Habits Setup'!E7,0)+IF(I8="✅",'Habits Setup'!E8,0)+IF(I9="✅",'Habits Setup'!E9,0)+IF(I10="✅",'Habits Setup'!E10,0)+IF(I11="✅",'Habits Setup'!E11,0)+IF(I12="✅",'Habits Setup'!E12,0)+IF(I13="✅",'Habits Setup'!E13,0)+IF(I14="✅",'Habits Setup'!E14,0)+IF(I15="✅",'Habits Setup'!E15,0)+IF(I16="✅",'Habits Setup'!E16,0)</f>
        <v/>
      </c>
      <c r="J17" s="95">
        <f>IF(J5="✅",'Habits Setup'!E5,0)+IF(J6="✅",'Habits Setup'!E6,0)+IF(J7="✅",'Habits Setup'!E7,0)+IF(J8="✅",'Habits Setup'!E8,0)+IF(J9="✅",'Habits Setup'!E9,0)+IF(J10="✅",'Habits Setup'!E10,0)+IF(J11="✅",'Habits Setup'!E11,0)+IF(J12="✅",'Habits Setup'!E12,0)+IF(J13="✅",'Habits Setup'!E13,0)+IF(J14="✅",'Habits Setup'!E14,0)+IF(J15="✅",'Habits Setup'!E15,0)+IF(J16="✅",'Habits Setup'!E16,0)</f>
        <v/>
      </c>
      <c r="K17" s="95">
        <f>IF(K5="✅",'Habits Setup'!E5,0)+IF(K6="✅",'Habits Setup'!E6,0)+IF(K7="✅",'Habits Setup'!E7,0)+IF(K8="✅",'Habits Setup'!E8,0)+IF(K9="✅",'Habits Setup'!E9,0)+IF(K10="✅",'Habits Setup'!E10,0)+IF(K11="✅",'Habits Setup'!E11,0)+IF(K12="✅",'Habits Setup'!E12,0)+IF(K13="✅",'Habits Setup'!E13,0)+IF(K14="✅",'Habits Setup'!E14,0)+IF(K15="✅",'Habits Setup'!E15,0)+IF(K16="✅",'Habits Setup'!E16,0)</f>
        <v/>
      </c>
      <c r="L17" s="95">
        <f>IF(L5="✅",'Habits Setup'!E5,0)+IF(L6="✅",'Habits Setup'!E6,0)+IF(L7="✅",'Habits Setup'!E7,0)+IF(L8="✅",'Habits Setup'!E8,0)+IF(L9="✅",'Habits Setup'!E9,0)+IF(L10="✅",'Habits Setup'!E10,0)+IF(L11="✅",'Habits Setup'!E11,0)+IF(L12="✅",'Habits Setup'!E12,0)+IF(L13="✅",'Habits Setup'!E13,0)+IF(L14="✅",'Habits Setup'!E14,0)+IF(L15="✅",'Habits Setup'!E15,0)+IF(L16="✅",'Habits Setup'!E16,0)</f>
        <v/>
      </c>
      <c r="M17" s="95">
        <f>IF(M5="✅",'Habits Setup'!E5,0)+IF(M6="✅",'Habits Setup'!E6,0)+IF(M7="✅",'Habits Setup'!E7,0)+IF(M8="✅",'Habits Setup'!E8,0)+IF(M9="✅",'Habits Setup'!E9,0)+IF(M10="✅",'Habits Setup'!E10,0)+IF(M11="✅",'Habits Setup'!E11,0)+IF(M12="✅",'Habits Setup'!E12,0)+IF(M13="✅",'Habits Setup'!E13,0)+IF(M14="✅",'Habits Setup'!E14,0)+IF(M15="✅",'Habits Setup'!E15,0)+IF(M16="✅",'Habits Setup'!E16,0)</f>
        <v/>
      </c>
      <c r="N17" s="95">
        <f>IF(N5="✅",'Habits Setup'!E5,0)+IF(N6="✅",'Habits Setup'!E6,0)+IF(N7="✅",'Habits Setup'!E7,0)+IF(N8="✅",'Habits Setup'!E8,0)+IF(N9="✅",'Habits Setup'!E9,0)+IF(N10="✅",'Habits Setup'!E10,0)+IF(N11="✅",'Habits Setup'!E11,0)+IF(N12="✅",'Habits Setup'!E12,0)+IF(N13="✅",'Habits Setup'!E13,0)+IF(N14="✅",'Habits Setup'!E14,0)+IF(N15="✅",'Habits Setup'!E15,0)+IF(N16="✅",'Habits Setup'!E16,0)</f>
        <v/>
      </c>
      <c r="O17" s="95">
        <f>IF(O5="✅",'Habits Setup'!E5,0)+IF(O6="✅",'Habits Setup'!E6,0)+IF(O7="✅",'Habits Setup'!E7,0)+IF(O8="✅",'Habits Setup'!E8,0)+IF(O9="✅",'Habits Setup'!E9,0)+IF(O10="✅",'Habits Setup'!E10,0)+IF(O11="✅",'Habits Setup'!E11,0)+IF(O12="✅",'Habits Setup'!E12,0)+IF(O13="✅",'Habits Setup'!E13,0)+IF(O14="✅",'Habits Setup'!E14,0)+IF(O15="✅",'Habits Setup'!E15,0)+IF(O16="✅",'Habits Setup'!E16,0)</f>
        <v/>
      </c>
      <c r="P17" s="95">
        <f>IF(P5="✅",'Habits Setup'!E5,0)+IF(P6="✅",'Habits Setup'!E6,0)+IF(P7="✅",'Habits Setup'!E7,0)+IF(P8="✅",'Habits Setup'!E8,0)+IF(P9="✅",'Habits Setup'!E9,0)+IF(P10="✅",'Habits Setup'!E10,0)+IF(P11="✅",'Habits Setup'!E11,0)+IF(P12="✅",'Habits Setup'!E12,0)+IF(P13="✅",'Habits Setup'!E13,0)+IF(P14="✅",'Habits Setup'!E14,0)+IF(P15="✅",'Habits Setup'!E15,0)+IF(P16="✅",'Habits Setup'!E16,0)</f>
        <v/>
      </c>
      <c r="Q17" s="95">
        <f>IF(Q5="✅",'Habits Setup'!E5,0)+IF(Q6="✅",'Habits Setup'!E6,0)+IF(Q7="✅",'Habits Setup'!E7,0)+IF(Q8="✅",'Habits Setup'!E8,0)+IF(Q9="✅",'Habits Setup'!E9,0)+IF(Q10="✅",'Habits Setup'!E10,0)+IF(Q11="✅",'Habits Setup'!E11,0)+IF(Q12="✅",'Habits Setup'!E12,0)+IF(Q13="✅",'Habits Setup'!E13,0)+IF(Q14="✅",'Habits Setup'!E14,0)+IF(Q15="✅",'Habits Setup'!E15,0)+IF(Q16="✅",'Habits Setup'!E16,0)</f>
        <v/>
      </c>
      <c r="R17" s="2" t="n"/>
      <c r="S17" s="2" t="n"/>
      <c r="T17" s="2" t="n"/>
      <c r="U17" s="2" t="n"/>
      <c r="V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row>
  </sheetData>
  <mergeCells count="3">
    <mergeCell ref="A1:T1"/>
    <mergeCell ref="A2:T2"/>
    <mergeCell ref="A17:C17"/>
  </mergeCells>
  <conditionalFormatting sqref="D5:Q16">
    <cfRule type="cellIs" priority="1" operator="equal" dxfId="0">
      <formula>"✅"</formula>
    </cfRule>
    <cfRule type="cellIs" priority="2" operator="equal" dxfId="1">
      <formula>"❌"</formula>
    </cfRule>
    <cfRule type="cellIs" priority="3" operator="equal" dxfId="2">
      <formula>"⏭"</formula>
    </cfRule>
  </conditionalFormatting>
  <dataValidations count="1">
    <dataValidation sqref="D5 D6 D7 D8 D9 D10 D11 D12 D13 D14 D15 D16 E5 E6 E7 E8 E9 E10 E11 E12 E13 E14 E15 E16 F5 F6 F7 F8 F9 F10 F11 F12 F13 F14 F15 F16 G5 G6 G7 G8 G9 G10 G11 G12 G13 G14 G15 G16 H5 H6 H7 H8 H9 H10 H11 H12 H13 H14 H15 H16 I5 I6 I7 I8 I9 I10 I11 I12 I13 I14 I15 I16 J5 J6 J7 J8 J9 J10 J11 J12 J13 J14 J15 J16 K5 K6 K7 K8 K9 K10 K11 K12 K13 K14 K15 K16 L5 L6 L7 L8 L9 L10 L11 L12 L13 L14 L15 L16 M5 M6 M7 M8 M9 M10 M11 M12 M13 M14 M15 M16 N5 N6 N7 N8 N9 N10 N11 N12 N13 N14 N15 N16 O5 O6 O7 O8 O9 O10 O11 O12 O13 O14 O15 O16 P5 P6 P7 P8 P9 P10 P11 P12 P13 P14 P15 P16 Q5 Q6 Q7 Q8 Q9 Q10 Q11 Q12 Q13 Q14 Q15 Q16" showDropDown="0" showInputMessage="0" showErrorMessage="0" allowBlank="0" type="list">
      <formula1>"✅,⏭,❌,—"</formula1>
    </dataValidation>
  </dataValidations>
  <pageMargins left="0.75" right="0.75" top="1" bottom="1" header="0.5" footer="0.5"/>
</worksheet>
</file>

<file path=xl/worksheets/sheet4.xml><?xml version="1.0" encoding="utf-8"?>
<worksheet xmlns="http://schemas.openxmlformats.org/spreadsheetml/2006/main">
  <sheetPr>
    <tabColor rgb="00F59E0B"/>
    <outlinePr summaryBelow="1" summaryRight="1"/>
    <pageSetUpPr/>
  </sheetPr>
  <dimension ref="A1:Y67"/>
  <sheetViews>
    <sheetView showGridLines="0"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4" customWidth="1" min="6" max="6"/>
    <col width="20" customWidth="1" min="7" max="7"/>
    <col width="14" customWidth="1" min="8" max="8"/>
    <col width="12" customWidth="1" min="9" max="9"/>
    <col width="14" customWidth="1" min="10" max="10"/>
    <col width="16" customWidth="1" min="11" max="11"/>
  </cols>
  <sheetData>
    <row r="1" ht="46" customHeight="1">
      <c r="A1" s="96" t="inlineStr">
        <is>
          <t xml:space="preserve">   ⚡  XP &amp; Levels</t>
        </is>
      </c>
      <c r="Q1" s="2" t="n"/>
      <c r="R1" s="2" t="n"/>
      <c r="S1" s="2" t="n"/>
      <c r="T1" s="2" t="n"/>
    </row>
    <row r="2" ht="18" customHeight="1">
      <c r="A2" s="97" t="inlineStr">
        <is>
          <t>Your momentum never resets. Every ✅ earns XP. Keep stacking.</t>
        </is>
      </c>
      <c r="Q2" s="2" t="n"/>
      <c r="R2" s="2" t="n"/>
      <c r="S2" s="2" t="n"/>
      <c r="T2" s="2" t="n"/>
    </row>
    <row r="3" ht="8" customHeight="1">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row>
    <row r="4" ht="26" customHeight="1">
      <c r="A4" s="98" t="inlineStr">
        <is>
          <t>YOUR AVATAR</t>
        </is>
      </c>
      <c r="F4" s="2" t="n"/>
      <c r="G4" s="22" t="inlineStr">
        <is>
          <t xml:space="preserve">   Level Progression</t>
        </is>
      </c>
      <c r="L4" s="2" t="n"/>
      <c r="M4" s="2" t="n"/>
      <c r="N4" s="2" t="n"/>
      <c r="O4" s="2" t="n"/>
      <c r="P4" s="2" t="n"/>
      <c r="Q4" s="2" t="n"/>
      <c r="R4" s="2" t="n"/>
      <c r="S4" s="2" t="n"/>
      <c r="T4" s="2" t="n"/>
    </row>
    <row r="5" ht="22" customHeight="1">
      <c r="A5" s="99">
        <f>IF(B8&gt;=3001,"👑",IF(B8&gt;=1751,"💎",IF(B8&gt;=1001,"⚡",IF(B8&gt;=601,"🔥",IF(B8&gt;=301,"🌳",IF(B8&gt;=101,"🌿","🌱"))))))</f>
        <v/>
      </c>
      <c r="F5" s="2" t="n"/>
      <c r="G5" s="56" t="inlineStr">
        <is>
          <t>Level</t>
        </is>
      </c>
      <c r="H5" s="56" t="inlineStr">
        <is>
          <t>Title</t>
        </is>
      </c>
      <c r="I5" s="56" t="inlineStr">
        <is>
          <t>XP Range</t>
        </is>
      </c>
      <c r="J5" s="56" t="inlineStr">
        <is>
          <t>Status</t>
        </is>
      </c>
      <c r="K5" s="2" t="n"/>
      <c r="L5" s="2" t="n"/>
      <c r="M5" s="2" t="n"/>
      <c r="N5" s="2" t="n"/>
      <c r="O5" s="2" t="n"/>
      <c r="P5" s="2" t="n"/>
      <c r="Q5" s="2" t="n"/>
      <c r="R5" s="2" t="n"/>
      <c r="S5" s="2" t="n"/>
      <c r="T5" s="2" t="n"/>
    </row>
    <row r="6" ht="22" customHeight="1">
      <c r="F6" s="2" t="n"/>
      <c r="G6" s="61" t="n">
        <v>1</v>
      </c>
      <c r="H6" s="100" t="inlineStr">
        <is>
          <t>🌱 Seed</t>
        </is>
      </c>
      <c r="I6" s="61" t="inlineStr">
        <is>
          <t>0 – 100</t>
        </is>
      </c>
      <c r="J6" s="101">
        <f>IF(AND(C13&gt;=0,C13&lt;=100),"◀ CURRENT","—")</f>
        <v/>
      </c>
      <c r="K6" s="2" t="n"/>
      <c r="L6" s="2" t="n"/>
      <c r="M6" s="2" t="n"/>
      <c r="N6" s="2" t="n"/>
      <c r="O6" s="2" t="n"/>
      <c r="P6" s="2" t="n"/>
      <c r="Q6" s="2" t="n"/>
      <c r="R6" s="2" t="n"/>
      <c r="S6" s="2" t="n"/>
      <c r="T6" s="2" t="n"/>
    </row>
    <row r="7" ht="22" customHeight="1">
      <c r="F7" s="2" t="n"/>
      <c r="G7" s="57" t="n">
        <v>2</v>
      </c>
      <c r="H7" s="102" t="inlineStr">
        <is>
          <t>🌿 Sprout</t>
        </is>
      </c>
      <c r="I7" s="57" t="inlineStr">
        <is>
          <t>101 – 300</t>
        </is>
      </c>
      <c r="J7" s="103">
        <f>IF(AND(C13&gt;=101,C13&lt;=300),"◀ CURRENT","—")</f>
        <v/>
      </c>
      <c r="K7" s="2" t="n"/>
      <c r="L7" s="2" t="n"/>
      <c r="M7" s="2" t="n"/>
      <c r="N7" s="2" t="n"/>
      <c r="O7" s="2" t="n"/>
      <c r="P7" s="2" t="n"/>
      <c r="Q7" s="2" t="n"/>
      <c r="R7" s="2" t="n"/>
      <c r="S7" s="2" t="n"/>
      <c r="T7" s="2" t="n"/>
    </row>
    <row r="8" ht="22" customHeight="1">
      <c r="F8" s="2" t="n"/>
      <c r="G8" s="61" t="n">
        <v>3</v>
      </c>
      <c r="H8" s="104" t="inlineStr">
        <is>
          <t>🌳 Sapling</t>
        </is>
      </c>
      <c r="I8" s="61" t="inlineStr">
        <is>
          <t>301 – 600</t>
        </is>
      </c>
      <c r="J8" s="105">
        <f>IF(AND(C13&gt;=301,C13&lt;=600),"◀ CURRENT","—")</f>
        <v/>
      </c>
      <c r="K8" s="2" t="n"/>
      <c r="L8" s="2" t="n"/>
      <c r="M8" s="2" t="n"/>
      <c r="N8" s="2" t="n"/>
      <c r="O8" s="2" t="n"/>
      <c r="P8" s="2" t="n"/>
      <c r="Q8" s="2" t="n"/>
      <c r="R8" s="2" t="n"/>
      <c r="S8" s="2" t="n"/>
      <c r="T8" s="2" t="n"/>
    </row>
    <row r="9" ht="22" customHeight="1">
      <c r="F9" s="2" t="n"/>
      <c r="G9" s="57" t="n">
        <v>4</v>
      </c>
      <c r="H9" s="106" t="inlineStr">
        <is>
          <t>🔥 Achiever</t>
        </is>
      </c>
      <c r="I9" s="57" t="inlineStr">
        <is>
          <t>601 – 1,000</t>
        </is>
      </c>
      <c r="J9" s="107">
        <f>IF(AND(C13&gt;=601,C13&lt;=1000),"◀ CURRENT","—")</f>
        <v/>
      </c>
      <c r="K9" s="2" t="n"/>
      <c r="L9" s="2" t="n"/>
      <c r="M9" s="2" t="n"/>
      <c r="N9" s="2" t="n"/>
      <c r="O9" s="2" t="n"/>
      <c r="P9" s="2" t="n"/>
      <c r="Q9" s="2" t="n"/>
      <c r="R9" s="2" t="n"/>
      <c r="S9" s="2" t="n"/>
      <c r="T9" s="2" t="n"/>
    </row>
    <row r="10" ht="22" customHeight="1">
      <c r="F10" s="2" t="n"/>
      <c r="G10" s="61" t="n">
        <v>5</v>
      </c>
      <c r="H10" s="108" t="inlineStr">
        <is>
          <t>⚡ Champion</t>
        </is>
      </c>
      <c r="I10" s="61" t="inlineStr">
        <is>
          <t>1,001 – 1,750</t>
        </is>
      </c>
      <c r="J10" s="109">
        <f>IF(AND(C13&gt;=1001,C13&lt;=1750),"◀ CURRENT","—")</f>
        <v/>
      </c>
      <c r="K10" s="2" t="n"/>
      <c r="L10" s="2" t="n"/>
      <c r="M10" s="2" t="n"/>
      <c r="N10" s="2" t="n"/>
      <c r="O10" s="2" t="n"/>
      <c r="P10" s="2" t="n"/>
      <c r="Q10" s="2" t="n"/>
      <c r="R10" s="2" t="n"/>
      <c r="S10" s="2" t="n"/>
      <c r="T10" s="2" t="n"/>
    </row>
    <row r="11" ht="22" customHeight="1">
      <c r="A11" s="110">
        <f>IF(B8&gt;=3001,"👑 ELITE",IF(B8&gt;=1751,"💎 LEGEND",IF(B8&gt;=1001,"⚡ CHAMPION",IF(B8&gt;=601,"🔥 ACHIEVER",IF(B8&gt;=301,"🌳 SAPLING",IF(B8&gt;=101,"🌿 SPROUT","🌱 SEED"))))))</f>
        <v/>
      </c>
      <c r="F11" s="2" t="n"/>
      <c r="G11" s="57" t="n">
        <v>6</v>
      </c>
      <c r="H11" s="111" t="inlineStr">
        <is>
          <t>💎 Legend</t>
        </is>
      </c>
      <c r="I11" s="57" t="inlineStr">
        <is>
          <t>1,751 – 3,000</t>
        </is>
      </c>
      <c r="J11" s="112">
        <f>IF(AND(C13&gt;=1751,C13&lt;=3000),"◀ CURRENT","—")</f>
        <v/>
      </c>
      <c r="K11" s="2" t="n"/>
      <c r="L11" s="2" t="n"/>
      <c r="M11" s="2" t="n"/>
      <c r="N11" s="2" t="n"/>
      <c r="O11" s="2" t="n"/>
      <c r="P11" s="2" t="n"/>
      <c r="Q11" s="2" t="n"/>
      <c r="R11" s="2" t="n"/>
      <c r="S11" s="2" t="n"/>
      <c r="T11" s="2" t="n"/>
    </row>
    <row r="12" ht="22" customHeight="1">
      <c r="F12" s="2" t="n"/>
      <c r="G12" s="61" t="n">
        <v>7</v>
      </c>
      <c r="H12" s="108" t="inlineStr">
        <is>
          <t>👑 Elite</t>
        </is>
      </c>
      <c r="I12" s="61" t="inlineStr">
        <is>
          <t>3,001+</t>
        </is>
      </c>
      <c r="J12" s="109">
        <f>IF(AND(C13&gt;=3001,C13&lt;=9999),"◀ CURRENT","—")</f>
        <v/>
      </c>
      <c r="K12" s="2" t="n"/>
      <c r="L12" s="2" t="n"/>
      <c r="M12" s="2" t="n"/>
      <c r="N12" s="2" t="n"/>
      <c r="O12" s="2" t="n"/>
      <c r="P12" s="2" t="n"/>
      <c r="Q12" s="2" t="n"/>
      <c r="R12" s="2" t="n"/>
      <c r="S12" s="2" t="n"/>
      <c r="T12" s="2" t="n"/>
    </row>
    <row r="13" ht="30" customHeight="1">
      <c r="A13" s="9" t="inlineStr">
        <is>
          <t>TOTAL XP</t>
        </is>
      </c>
      <c r="C13" s="113">
        <f>(COUNTIF('Check-In'!D5:Q5,"✅")*'Habits Setup'!E5)+(COUNTIF('Check-In'!D6:Q6,"✅")*'Habits Setup'!E6)+(COUNTIF('Check-In'!D7:Q7,"✅")*'Habits Setup'!E7)+(COUNTIF('Check-In'!D8:Q8,"✅")*'Habits Setup'!E8)+(COUNTIF('Check-In'!D9:Q9,"✅")*'Habits Setup'!E9)+(COUNTIF('Check-In'!D10:Q10,"✅")*'Habits Setup'!E10)+(COUNTIF('Check-In'!D11:Q11,"✅")*'Habits Setup'!E11)+(COUNTIF('Check-In'!D12:Q12,"✅")*'Habits Setup'!E12)+(COUNTIF('Check-In'!D13:Q13,"✅")*'Habits Setup'!E13)+(COUNTIF('Check-In'!D14:Q14,"✅")*'Habits Setup'!E14)+(COUNTIF('Check-In'!D15:Q15,"✅")*'Habits Setup'!E15)+(COUNTIF('Check-In'!D16:Q16,"✅")*'Habits Setup'!E16)</f>
        <v/>
      </c>
      <c r="F13" s="2" t="n"/>
      <c r="G13" s="2" t="n"/>
      <c r="H13" s="2" t="n"/>
      <c r="I13" s="2" t="n"/>
      <c r="J13" s="2" t="n"/>
      <c r="K13" s="2" t="n"/>
      <c r="L13" s="2" t="n"/>
      <c r="M13" s="2" t="n"/>
      <c r="N13" s="2" t="n"/>
      <c r="O13" s="2" t="n"/>
      <c r="P13" s="2" t="n"/>
      <c r="Q13" s="2" t="n"/>
      <c r="R13" s="2" t="n"/>
      <c r="S13" s="2" t="n"/>
      <c r="T13" s="2" t="n"/>
    </row>
    <row r="14" ht="26" customHeight="1">
      <c r="A14" s="114" t="inlineStr">
        <is>
          <t>NEXT LEVEL AT</t>
        </is>
      </c>
      <c r="C14" s="115">
        <f>IF(C13&gt;=3001,"MAX LEVEL 👑",IF(C13&gt;=1751,3001,IF(C13&gt;=1001,1751,IF(C13&gt;=601,1001,IF(C13&gt;=301,601,IF(C13&gt;=101,301,101))))))</f>
        <v/>
      </c>
      <c r="F14" s="2" t="n"/>
      <c r="G14" s="2" t="n"/>
      <c r="H14" s="2" t="n"/>
      <c r="I14" s="2" t="n"/>
      <c r="J14" s="2" t="n"/>
      <c r="K14" s="2" t="n"/>
      <c r="L14" s="2" t="n"/>
      <c r="M14" s="2" t="n"/>
      <c r="N14" s="2" t="n"/>
      <c r="O14" s="2" t="n"/>
      <c r="P14" s="2" t="n"/>
      <c r="Q14" s="2" t="n"/>
      <c r="R14" s="2" t="n"/>
      <c r="S14" s="2" t="n"/>
      <c r="T14" s="2" t="n"/>
    </row>
    <row r="15" ht="24" customHeight="1">
      <c r="A15" s="116">
        <f>IF(C13&gt;=3001,"▓▓▓▓▓▓▓▓▓▓▓▓▓▓▓▓▓▓▓▓  MAX",LET(pct,MIN(C13/C14,1),REPT("▓",ROUND(pct*20,0))&amp;REPT("░",20-ROUND(pct*20,0))&amp;"  "&amp;TEXT(pct,"0%")))</f>
        <v/>
      </c>
      <c r="F15" s="2" t="n"/>
      <c r="G15" s="2" t="n"/>
      <c r="H15" s="2" t="n"/>
      <c r="I15" s="2" t="n"/>
      <c r="J15" s="2" t="n"/>
      <c r="K15" s="2" t="n"/>
      <c r="L15" s="2" t="n"/>
      <c r="M15" s="2" t="n"/>
      <c r="N15" s="2" t="n"/>
      <c r="O15" s="2" t="n"/>
      <c r="P15" s="2" t="n"/>
      <c r="Q15" s="2" t="n"/>
      <c r="R15" s="2" t="n"/>
      <c r="S15" s="2" t="n"/>
      <c r="T15" s="2" t="n"/>
    </row>
    <row r="16" ht="24" customHeight="1">
      <c r="A16" s="114" t="inlineStr">
        <is>
          <t>DAYS TRACKED</t>
        </is>
      </c>
      <c r="C16" s="115">
        <f>IF(COUNTIF('Check-In'!D5:Q5,"✅")&gt;0,1,0)+IF(COUNTIF('Check-In'!D6:Q6,"✅")&gt;0,1,0)+IF(COUNTIF('Check-In'!D7:Q7,"✅")&gt;0,1,0)+IF(COUNTIF('Check-In'!D8:Q8,"✅")&gt;0,1,0)+IF(COUNTIF('Check-In'!D9:Q9,"✅")&gt;0,1,0)+IF(COUNTIF('Check-In'!D10:Q10,"✅")&gt;0,1,0)+IF(COUNTIF('Check-In'!D11:Q11,"✅")&gt;0,1,0)+IF(COUNTIF('Check-In'!D12:Q12,"✅")&gt;0,1,0)+IF(COUNTIF('Check-In'!D13:Q13,"✅")&gt;0,1,0)+IF(COUNTIF('Check-In'!D14:Q14,"✅")&gt;0,1,0)+IF(COUNTIF('Check-In'!D15:Q15,"✅")&gt;0,1,0)+IF(COUNTIF('Check-In'!D16:Q16,"✅")&gt;0,1,0)</f>
        <v/>
      </c>
      <c r="F16" s="2" t="n"/>
      <c r="G16" s="2" t="n"/>
      <c r="H16" s="2" t="n"/>
      <c r="I16" s="2" t="n"/>
      <c r="J16" s="2" t="n"/>
      <c r="K16" s="2" t="n"/>
      <c r="L16" s="2" t="n"/>
      <c r="M16" s="2" t="n"/>
      <c r="N16" s="2" t="n"/>
      <c r="O16" s="2" t="n"/>
      <c r="P16" s="2" t="n"/>
      <c r="Q16" s="2" t="n"/>
      <c r="R16" s="2" t="n"/>
      <c r="S16" s="2" t="n"/>
      <c r="T16" s="2" t="n"/>
    </row>
    <row r="17" ht="20" customHeight="1">
      <c r="A17" s="117" t="inlineStr">
        <is>
          <t>"Momentum, not motivation."</t>
        </is>
      </c>
      <c r="F17" s="2" t="n"/>
      <c r="G17" s="2" t="n"/>
      <c r="H17" s="2" t="n"/>
      <c r="I17" s="2" t="n"/>
      <c r="J17" s="2" t="n"/>
      <c r="K17" s="2" t="n"/>
      <c r="L17" s="2" t="n"/>
      <c r="M17" s="2" t="n"/>
      <c r="N17" s="2" t="n"/>
      <c r="O17" s="2" t="n"/>
      <c r="P17" s="2" t="n"/>
      <c r="Q17" s="2" t="n"/>
      <c r="R17" s="2" t="n"/>
      <c r="S17" s="2" t="n"/>
      <c r="T17" s="2" t="n"/>
    </row>
    <row r="18" ht="6" customHeight="1">
      <c r="A18" s="17" t="n"/>
      <c r="B18" s="17" t="n"/>
      <c r="C18" s="17" t="n"/>
      <c r="D18" s="17" t="n"/>
      <c r="E18" s="17" t="n"/>
      <c r="F18" s="2" t="n"/>
      <c r="G18" s="2" t="n"/>
      <c r="H18" s="2" t="n"/>
      <c r="I18" s="2" t="n"/>
      <c r="J18" s="2" t="n"/>
      <c r="K18" s="2" t="n"/>
      <c r="L18" s="2" t="n"/>
      <c r="M18" s="2" t="n"/>
      <c r="N18" s="2" t="n"/>
      <c r="O18" s="2" t="n"/>
      <c r="P18" s="2" t="n"/>
      <c r="Q18" s="2" t="n"/>
      <c r="R18" s="2" t="n"/>
      <c r="S18" s="2" t="n"/>
      <c r="T18" s="2" t="n"/>
    </row>
    <row r="19" ht="10" customHeight="1">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row>
    <row r="20" ht="26" customHeight="1">
      <c r="A20" s="118" t="inlineStr">
        <is>
          <t xml:space="preserve">   XP Breakdown by Habit</t>
        </is>
      </c>
      <c r="L20" s="2" t="n"/>
      <c r="M20" s="2" t="n"/>
      <c r="N20" s="2" t="n"/>
      <c r="O20" s="2" t="n"/>
      <c r="P20" s="2" t="n"/>
      <c r="Q20" s="2" t="n"/>
      <c r="R20" s="2" t="n"/>
      <c r="S20" s="2" t="n"/>
      <c r="T20" s="2" t="n"/>
    </row>
    <row r="21" ht="22" customHeight="1">
      <c r="A21" s="119" t="inlineStr">
        <is>
          <t>Habit</t>
        </is>
      </c>
      <c r="B21" s="119" t="inlineStr">
        <is>
          <t>XP/Rep</t>
        </is>
      </c>
      <c r="C21" s="119" t="inlineStr">
        <is>
          <t>✅ Count</t>
        </is>
      </c>
      <c r="D21" s="119" t="inlineStr">
        <is>
          <t>Total XP</t>
        </is>
      </c>
      <c r="E21" s="119" t="inlineStr">
        <is>
          <t>% of Total</t>
        </is>
      </c>
      <c r="F21" s="2" t="n"/>
      <c r="G21" s="2" t="n"/>
      <c r="H21" s="2" t="n"/>
      <c r="I21" s="2" t="n"/>
      <c r="J21" s="2" t="n"/>
      <c r="K21" s="2" t="n"/>
      <c r="L21" s="2" t="n"/>
      <c r="M21" s="2" t="n"/>
      <c r="N21" s="2" t="n"/>
      <c r="O21" s="2" t="n"/>
      <c r="P21" s="2" t="n"/>
      <c r="Q21" s="2" t="n"/>
      <c r="R21" s="2" t="n"/>
      <c r="S21" s="2" t="n"/>
      <c r="T21" s="2" t="n"/>
    </row>
    <row r="22" ht="22" customHeight="1">
      <c r="A22" s="30" t="inlineStr">
        <is>
          <t>💧  Drink 8 Glasses of Water</t>
        </is>
      </c>
      <c r="B22" s="32">
        <f>'Habits Setup'!E5</f>
        <v/>
      </c>
      <c r="C22" s="120">
        <f>COUNTIF('Check-In'!D5:Q5,"✅")</f>
        <v/>
      </c>
      <c r="D22" s="32">
        <f>B22*C22</f>
        <v/>
      </c>
      <c r="E22" s="121">
        <f>IFERROR(D22/C13,0)</f>
        <v/>
      </c>
      <c r="F22" s="2" t="n"/>
      <c r="G22" s="2" t="n"/>
      <c r="H22" s="2" t="n"/>
      <c r="I22" s="2" t="n"/>
      <c r="J22" s="2" t="n"/>
      <c r="K22" s="2" t="n"/>
      <c r="L22" s="2" t="n"/>
      <c r="M22" s="2" t="n"/>
      <c r="N22" s="2" t="n"/>
      <c r="O22" s="2" t="n"/>
      <c r="P22" s="2" t="n"/>
      <c r="Q22" s="2" t="n"/>
      <c r="R22" s="2" t="n"/>
      <c r="S22" s="2" t="n"/>
      <c r="T22" s="2" t="n"/>
    </row>
    <row r="23" ht="22" customHeight="1">
      <c r="A23" s="36" t="inlineStr">
        <is>
          <t>🏋️  30-Min Workout</t>
        </is>
      </c>
      <c r="B23" s="32">
        <f>'Habits Setup'!E6</f>
        <v/>
      </c>
      <c r="C23" s="122">
        <f>COUNTIF('Check-In'!D6:Q6,"✅")</f>
        <v/>
      </c>
      <c r="D23" s="32">
        <f>B23*C23</f>
        <v/>
      </c>
      <c r="E23" s="123">
        <f>IFERROR(D23/C13,0)</f>
        <v/>
      </c>
      <c r="F23" s="2" t="n"/>
      <c r="G23" s="2" t="n"/>
      <c r="H23" s="2" t="n"/>
      <c r="I23" s="2" t="n"/>
      <c r="J23" s="2" t="n"/>
      <c r="K23" s="2" t="n"/>
      <c r="L23" s="2" t="n"/>
      <c r="M23" s="2" t="n"/>
      <c r="N23" s="2" t="n"/>
      <c r="O23" s="2" t="n"/>
      <c r="P23" s="2" t="n"/>
      <c r="Q23" s="2" t="n"/>
      <c r="R23" s="2" t="n"/>
      <c r="S23" s="2" t="n"/>
      <c r="T23" s="2" t="n"/>
    </row>
    <row r="24" ht="22" customHeight="1">
      <c r="A24" s="41" t="inlineStr">
        <is>
          <t>🧘  Meditate 10 Min</t>
        </is>
      </c>
      <c r="B24" s="32">
        <f>'Habits Setup'!E7</f>
        <v/>
      </c>
      <c r="C24" s="120">
        <f>COUNTIF('Check-In'!D7:Q7,"✅")</f>
        <v/>
      </c>
      <c r="D24" s="32">
        <f>B24*C24</f>
        <v/>
      </c>
      <c r="E24" s="121">
        <f>IFERROR(D24/C13,0)</f>
        <v/>
      </c>
      <c r="F24" s="2" t="n"/>
      <c r="G24" s="2" t="n"/>
      <c r="H24" s="2" t="n"/>
      <c r="I24" s="2" t="n"/>
      <c r="J24" s="2" t="n"/>
      <c r="K24" s="2" t="n"/>
      <c r="L24" s="2" t="n"/>
      <c r="M24" s="2" t="n"/>
      <c r="N24" s="2" t="n"/>
      <c r="O24" s="2" t="n"/>
      <c r="P24" s="2" t="n"/>
      <c r="Q24" s="2" t="n"/>
      <c r="R24" s="2" t="n"/>
      <c r="S24" s="2" t="n"/>
      <c r="T24" s="2" t="n"/>
    </row>
    <row r="25" ht="22" customHeight="1">
      <c r="A25" s="43" t="inlineStr">
        <is>
          <t>📚  Read 30 Minutes</t>
        </is>
      </c>
      <c r="B25" s="32">
        <f>'Habits Setup'!E8</f>
        <v/>
      </c>
      <c r="C25" s="122">
        <f>COUNTIF('Check-In'!D8:Q8,"✅")</f>
        <v/>
      </c>
      <c r="D25" s="32">
        <f>B25*C25</f>
        <v/>
      </c>
      <c r="E25" s="123">
        <f>IFERROR(D25/C13,0)</f>
        <v/>
      </c>
      <c r="F25" s="2" t="n"/>
      <c r="G25" s="2" t="n"/>
      <c r="H25" s="2" t="n"/>
      <c r="I25" s="2" t="n"/>
      <c r="J25" s="2" t="n"/>
      <c r="K25" s="2" t="n"/>
      <c r="L25" s="2" t="n"/>
      <c r="M25" s="2" t="n"/>
      <c r="N25" s="2" t="n"/>
      <c r="O25" s="2" t="n"/>
      <c r="P25" s="2" t="n"/>
      <c r="Q25" s="2" t="n"/>
      <c r="R25" s="2" t="n"/>
      <c r="S25" s="2" t="n"/>
      <c r="T25" s="2" t="n"/>
    </row>
    <row r="26" ht="22" customHeight="1">
      <c r="A26" s="41" t="inlineStr">
        <is>
          <t>🚫  No Social Media 1hr AM</t>
        </is>
      </c>
      <c r="B26" s="32">
        <f>'Habits Setup'!E9</f>
        <v/>
      </c>
      <c r="C26" s="120">
        <f>COUNTIF('Check-In'!D9:Q9,"✅")</f>
        <v/>
      </c>
      <c r="D26" s="32">
        <f>B26*C26</f>
        <v/>
      </c>
      <c r="E26" s="121">
        <f>IFERROR(D26/C13,0)</f>
        <v/>
      </c>
      <c r="F26" s="2" t="n"/>
      <c r="G26" s="2" t="n"/>
      <c r="H26" s="2" t="n"/>
      <c r="I26" s="2" t="n"/>
      <c r="J26" s="2" t="n"/>
      <c r="K26" s="2" t="n"/>
      <c r="L26" s="2" t="n"/>
      <c r="M26" s="2" t="n"/>
      <c r="N26" s="2" t="n"/>
      <c r="O26" s="2" t="n"/>
      <c r="P26" s="2" t="n"/>
      <c r="Q26" s="2" t="n"/>
      <c r="R26" s="2" t="n"/>
      <c r="S26" s="2" t="n"/>
      <c r="T26" s="2" t="n"/>
    </row>
    <row r="27" ht="22" customHeight="1">
      <c r="A27" s="45" t="inlineStr">
        <is>
          <t>🙏  Gratitude Journal</t>
        </is>
      </c>
      <c r="B27" s="32">
        <f>'Habits Setup'!E10</f>
        <v/>
      </c>
      <c r="C27" s="122">
        <f>COUNTIF('Check-In'!D10:Q10,"✅")</f>
        <v/>
      </c>
      <c r="D27" s="32">
        <f>B27*C27</f>
        <v/>
      </c>
      <c r="E27" s="123">
        <f>IFERROR(D27/C13,0)</f>
        <v/>
      </c>
      <c r="F27" s="2" t="n"/>
      <c r="G27" s="2" t="n"/>
      <c r="H27" s="2" t="n"/>
      <c r="I27" s="2" t="n"/>
      <c r="J27" s="2" t="n"/>
      <c r="K27" s="2" t="n"/>
      <c r="L27" s="2" t="n"/>
      <c r="M27" s="2" t="n"/>
      <c r="N27" s="2" t="n"/>
      <c r="O27" s="2" t="n"/>
      <c r="P27" s="2" t="n"/>
      <c r="Q27" s="2" t="n"/>
      <c r="R27" s="2" t="n"/>
      <c r="S27" s="2" t="n"/>
      <c r="T27" s="2" t="n"/>
    </row>
    <row r="28" ht="22" customHeight="1">
      <c r="A28" s="47" t="inlineStr">
        <is>
          <t>👟  10,000 Steps</t>
        </is>
      </c>
      <c r="B28" s="32">
        <f>'Habits Setup'!E11</f>
        <v/>
      </c>
      <c r="C28" s="120">
        <f>COUNTIF('Check-In'!D11:Q11,"✅")</f>
        <v/>
      </c>
      <c r="D28" s="32">
        <f>B28*C28</f>
        <v/>
      </c>
      <c r="E28" s="121">
        <f>IFERROR(D28/C13,0)</f>
        <v/>
      </c>
      <c r="F28" s="2" t="n"/>
      <c r="G28" s="2" t="n"/>
      <c r="H28" s="2" t="n"/>
      <c r="I28" s="2" t="n"/>
      <c r="J28" s="2" t="n"/>
      <c r="K28" s="2" t="n"/>
      <c r="L28" s="2" t="n"/>
      <c r="M28" s="2" t="n"/>
      <c r="N28" s="2" t="n"/>
      <c r="O28" s="2" t="n"/>
      <c r="P28" s="2" t="n"/>
      <c r="Q28" s="2" t="n"/>
      <c r="R28" s="2" t="n"/>
      <c r="S28" s="2" t="n"/>
      <c r="T28" s="2" t="n"/>
    </row>
    <row r="29" ht="22" customHeight="1">
      <c r="A29" s="49" t="inlineStr">
        <is>
          <t>😴  Sleep by 11pm</t>
        </is>
      </c>
      <c r="B29" s="32">
        <f>'Habits Setup'!E12</f>
        <v/>
      </c>
      <c r="C29" s="122">
        <f>COUNTIF('Check-In'!D12:Q12,"✅")</f>
        <v/>
      </c>
      <c r="D29" s="32">
        <f>B29*C29</f>
        <v/>
      </c>
      <c r="E29" s="123">
        <f>IFERROR(D29/C13,0)</f>
        <v/>
      </c>
      <c r="F29" s="2" t="n"/>
      <c r="G29" s="2" t="n"/>
      <c r="H29" s="2" t="n"/>
      <c r="I29" s="2" t="n"/>
      <c r="J29" s="2" t="n"/>
      <c r="K29" s="2" t="n"/>
      <c r="L29" s="2" t="n"/>
      <c r="M29" s="2" t="n"/>
      <c r="N29" s="2" t="n"/>
      <c r="O29" s="2" t="n"/>
      <c r="P29" s="2" t="n"/>
      <c r="Q29" s="2" t="n"/>
      <c r="R29" s="2" t="n"/>
      <c r="S29" s="2" t="n"/>
      <c r="T29" s="2" t="n"/>
    </row>
    <row r="30" ht="22" customHeight="1">
      <c r="A30" s="51" t="inlineStr">
        <is>
          <t>💼  Deep Work 2 Hours</t>
        </is>
      </c>
      <c r="B30" s="32">
        <f>'Habits Setup'!E13</f>
        <v/>
      </c>
      <c r="C30" s="120">
        <f>COUNTIF('Check-In'!D13:Q13,"✅")</f>
        <v/>
      </c>
      <c r="D30" s="32">
        <f>B30*C30</f>
        <v/>
      </c>
      <c r="E30" s="121">
        <f>IFERROR(D30/C13,0)</f>
        <v/>
      </c>
      <c r="F30" s="2" t="n"/>
      <c r="G30" s="2" t="n"/>
      <c r="H30" s="2" t="n"/>
      <c r="I30" s="2" t="n"/>
      <c r="J30" s="2" t="n"/>
      <c r="K30" s="2" t="n"/>
      <c r="L30" s="2" t="n"/>
      <c r="M30" s="2" t="n"/>
      <c r="N30" s="2" t="n"/>
      <c r="O30" s="2" t="n"/>
      <c r="P30" s="2" t="n"/>
      <c r="Q30" s="2" t="n"/>
      <c r="R30" s="2" t="n"/>
      <c r="S30" s="2" t="n"/>
      <c r="T30" s="2" t="n"/>
    </row>
    <row r="31" ht="22" customHeight="1">
      <c r="A31" s="53" t="inlineStr">
        <is>
          <t>📞  Connect with Someone</t>
        </is>
      </c>
      <c r="B31" s="32">
        <f>'Habits Setup'!E14</f>
        <v/>
      </c>
      <c r="C31" s="122">
        <f>COUNTIF('Check-In'!D14:Q14,"✅")</f>
        <v/>
      </c>
      <c r="D31" s="32">
        <f>B31*C31</f>
        <v/>
      </c>
      <c r="E31" s="123">
        <f>IFERROR(D31/C13,0)</f>
        <v/>
      </c>
      <c r="F31" s="2" t="n"/>
      <c r="G31" s="2" t="n"/>
      <c r="H31" s="2" t="n"/>
      <c r="I31" s="2" t="n"/>
      <c r="J31" s="2" t="n"/>
      <c r="K31" s="2" t="n"/>
      <c r="L31" s="2" t="n"/>
      <c r="M31" s="2" t="n"/>
      <c r="N31" s="2" t="n"/>
      <c r="O31" s="2" t="n"/>
      <c r="P31" s="2" t="n"/>
      <c r="Q31" s="2" t="n"/>
      <c r="R31" s="2" t="n"/>
      <c r="S31" s="2" t="n"/>
      <c r="T31" s="2" t="n"/>
    </row>
    <row r="32" ht="22" customHeight="1">
      <c r="A32" s="30" t="inlineStr">
        <is>
          <t>🥗  Eat Clean All Day</t>
        </is>
      </c>
      <c r="B32" s="32">
        <f>'Habits Setup'!E15</f>
        <v/>
      </c>
      <c r="C32" s="120">
        <f>COUNTIF('Check-In'!D15:Q15,"✅")</f>
        <v/>
      </c>
      <c r="D32" s="32">
        <f>B32*C32</f>
        <v/>
      </c>
      <c r="E32" s="121">
        <f>IFERROR(D32/C13,0)</f>
        <v/>
      </c>
      <c r="F32" s="2" t="n"/>
      <c r="G32" s="2" t="n"/>
      <c r="H32" s="2" t="n"/>
      <c r="I32" s="2" t="n"/>
      <c r="J32" s="2" t="n"/>
      <c r="K32" s="2" t="n"/>
      <c r="L32" s="2" t="n"/>
      <c r="M32" s="2" t="n"/>
      <c r="N32" s="2" t="n"/>
      <c r="O32" s="2" t="n"/>
      <c r="P32" s="2" t="n"/>
      <c r="Q32" s="2" t="n"/>
      <c r="R32" s="2" t="n"/>
      <c r="S32" s="2" t="n"/>
      <c r="T32" s="2" t="n"/>
    </row>
    <row r="33" ht="22" customHeight="1">
      <c r="A33" s="43" t="inlineStr">
        <is>
          <t>✍️  Write / Journal</t>
        </is>
      </c>
      <c r="B33" s="32">
        <f>'Habits Setup'!E16</f>
        <v/>
      </c>
      <c r="C33" s="122">
        <f>COUNTIF('Check-In'!D16:Q16,"✅")</f>
        <v/>
      </c>
      <c r="D33" s="32">
        <f>B33*C33</f>
        <v/>
      </c>
      <c r="E33" s="123">
        <f>IFERROR(D33/C13,0)</f>
        <v/>
      </c>
      <c r="F33" s="2" t="n"/>
      <c r="G33" s="2" t="n"/>
      <c r="H33" s="2" t="n"/>
      <c r="I33" s="2" t="n"/>
      <c r="J33" s="2" t="n"/>
      <c r="K33" s="2" t="n"/>
      <c r="L33" s="2" t="n"/>
      <c r="M33" s="2" t="n"/>
      <c r="N33" s="2" t="n"/>
      <c r="O33" s="2" t="n"/>
      <c r="P33" s="2" t="n"/>
      <c r="Q33" s="2" t="n"/>
      <c r="R33" s="2" t="n"/>
      <c r="S33" s="2" t="n"/>
      <c r="T33" s="2" t="n"/>
    </row>
    <row r="34" ht="24" customHeight="1">
      <c r="A34" s="94" t="inlineStr">
        <is>
          <t>TOTAL XP EARNED</t>
        </is>
      </c>
      <c r="B34" s="2" t="n"/>
      <c r="C34" s="2" t="n"/>
      <c r="D34" s="124">
        <f>SUM(D22:D33)</f>
        <v/>
      </c>
      <c r="E34" s="2" t="n"/>
      <c r="F34" s="2" t="n"/>
      <c r="G34" s="2" t="n"/>
      <c r="H34" s="2" t="n"/>
      <c r="I34" s="2" t="n"/>
      <c r="J34" s="2" t="n"/>
      <c r="K34" s="2" t="n"/>
      <c r="L34" s="2" t="n"/>
      <c r="M34" s="2" t="n"/>
      <c r="N34" s="2" t="n"/>
      <c r="O34" s="2" t="n"/>
      <c r="P34" s="2" t="n"/>
      <c r="Q34" s="2" t="n"/>
      <c r="R34" s="2" t="n"/>
      <c r="S34" s="2" t="n"/>
      <c r="T34" s="2" t="n"/>
    </row>
    <row r="35" ht="10" customHeight="1">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row>
    <row r="36" ht="26" customHeight="1">
      <c r="A36" s="28" t="inlineStr">
        <is>
          <t xml:space="preserve">   30-Day XP Log  (update daily)</t>
        </is>
      </c>
      <c r="L36" s="2" t="n"/>
      <c r="M36" s="2" t="n"/>
      <c r="N36" s="2" t="n"/>
      <c r="O36" s="2" t="n"/>
      <c r="P36" s="2" t="n"/>
      <c r="Q36" s="2" t="n"/>
      <c r="R36" s="2" t="n"/>
      <c r="S36" s="2" t="n"/>
      <c r="T36" s="2" t="n"/>
    </row>
    <row r="37" ht="22" customHeight="1">
      <c r="A37" s="29" t="inlineStr">
        <is>
          <t>Date</t>
        </is>
      </c>
      <c r="B37" s="29" t="inlineStr">
        <is>
          <t>XP Earned</t>
        </is>
      </c>
      <c r="C37" s="29" t="inlineStr">
        <is>
          <t>Habits Done</t>
        </is>
      </c>
      <c r="D37" s="29" t="inlineStr">
        <is>
          <t>Running Total</t>
        </is>
      </c>
      <c r="E37" s="2" t="n"/>
      <c r="F37" s="2" t="n"/>
      <c r="G37" s="2" t="n"/>
      <c r="H37" s="2" t="n"/>
      <c r="I37" s="2" t="n"/>
      <c r="J37" s="2" t="n"/>
      <c r="K37" s="2" t="n"/>
      <c r="L37" s="2" t="n"/>
      <c r="M37" s="2" t="n"/>
      <c r="N37" s="2" t="n"/>
      <c r="O37" s="2" t="n"/>
      <c r="P37" s="2" t="n"/>
      <c r="Q37" s="2" t="n"/>
      <c r="R37" s="2" t="n"/>
      <c r="S37" s="2" t="n"/>
      <c r="T37" s="2" t="n"/>
    </row>
    <row r="38" ht="20" customHeight="1">
      <c r="A38" s="125" t="inlineStr">
        <is>
          <t>22 Feb 2026</t>
        </is>
      </c>
      <c r="B38" s="32" t="n">
        <v>132</v>
      </c>
      <c r="C38" s="126" t="n">
        <v>7</v>
      </c>
      <c r="D38" s="127">
        <f>B38</f>
        <v/>
      </c>
      <c r="E38" s="2" t="n"/>
      <c r="F38" s="2" t="n"/>
      <c r="G38" s="2" t="n"/>
      <c r="H38" s="2" t="n"/>
      <c r="I38" s="2" t="n"/>
      <c r="J38" s="2" t="n"/>
      <c r="K38" s="2" t="n"/>
      <c r="L38" s="2" t="n"/>
      <c r="M38" s="2" t="n"/>
      <c r="N38" s="2" t="n"/>
      <c r="O38" s="2" t="n"/>
      <c r="P38" s="2" t="n"/>
      <c r="Q38" s="2" t="n"/>
      <c r="R38" s="2" t="n"/>
      <c r="S38" s="2" t="n"/>
      <c r="T38" s="2" t="n"/>
    </row>
    <row r="39" ht="20" customHeight="1">
      <c r="A39" s="128" t="inlineStr">
        <is>
          <t>23 Feb 2026</t>
        </is>
      </c>
      <c r="B39" s="32" t="n">
        <v>151</v>
      </c>
      <c r="C39" s="129" t="n">
        <v>11</v>
      </c>
      <c r="D39" s="127">
        <f>SUM(B38:B39)</f>
        <v/>
      </c>
      <c r="E39" s="2" t="n"/>
      <c r="F39" s="2" t="n"/>
      <c r="G39" s="2" t="n"/>
      <c r="H39" s="2" t="n"/>
      <c r="I39" s="2" t="n"/>
      <c r="J39" s="2" t="n"/>
      <c r="K39" s="2" t="n"/>
      <c r="L39" s="2" t="n"/>
      <c r="M39" s="2" t="n"/>
      <c r="N39" s="2" t="n"/>
      <c r="O39" s="2" t="n"/>
      <c r="P39" s="2" t="n"/>
      <c r="Q39" s="2" t="n"/>
      <c r="R39" s="2" t="n"/>
      <c r="S39" s="2" t="n"/>
      <c r="T39" s="2" t="n"/>
    </row>
    <row r="40" ht="20" customHeight="1">
      <c r="A40" s="125" t="inlineStr">
        <is>
          <t>24 Feb 2026</t>
        </is>
      </c>
      <c r="B40" s="32" t="n">
        <v>62</v>
      </c>
      <c r="C40" s="126" t="n">
        <v>6</v>
      </c>
      <c r="D40" s="127">
        <f>SUM(B38:B40)</f>
        <v/>
      </c>
      <c r="E40" s="2" t="n"/>
      <c r="F40" s="2" t="n"/>
      <c r="G40" s="2" t="n"/>
      <c r="H40" s="2" t="n"/>
      <c r="I40" s="2" t="n"/>
      <c r="J40" s="2" t="n"/>
      <c r="K40" s="2" t="n"/>
      <c r="L40" s="2" t="n"/>
      <c r="M40" s="2" t="n"/>
      <c r="N40" s="2" t="n"/>
      <c r="O40" s="2" t="n"/>
      <c r="P40" s="2" t="n"/>
      <c r="Q40" s="2" t="n"/>
      <c r="R40" s="2" t="n"/>
      <c r="S40" s="2" t="n"/>
      <c r="T40" s="2" t="n"/>
    </row>
    <row r="41" ht="20" customHeight="1">
      <c r="A41" s="128" t="inlineStr">
        <is>
          <t>25 Feb 2026</t>
        </is>
      </c>
      <c r="B41" s="32" t="n">
        <v>187</v>
      </c>
      <c r="C41" s="129" t="n">
        <v>6</v>
      </c>
      <c r="D41" s="127">
        <f>SUM(B38:B41)</f>
        <v/>
      </c>
      <c r="E41" s="2" t="n"/>
      <c r="F41" s="2" t="n"/>
      <c r="G41" s="2" t="n"/>
      <c r="H41" s="2" t="n"/>
      <c r="I41" s="2" t="n"/>
      <c r="J41" s="2" t="n"/>
      <c r="K41" s="2" t="n"/>
      <c r="L41" s="2" t="n"/>
      <c r="M41" s="2" t="n"/>
      <c r="N41" s="2" t="n"/>
      <c r="O41" s="2" t="n"/>
      <c r="P41" s="2" t="n"/>
      <c r="Q41" s="2" t="n"/>
      <c r="R41" s="2" t="n"/>
      <c r="S41" s="2" t="n"/>
      <c r="T41" s="2" t="n"/>
    </row>
    <row r="42" ht="20" customHeight="1">
      <c r="A42" s="125" t="inlineStr">
        <is>
          <t>26 Feb 2026</t>
        </is>
      </c>
      <c r="B42" s="32" t="n">
        <v>143</v>
      </c>
      <c r="C42" s="126" t="n">
        <v>10</v>
      </c>
      <c r="D42" s="127">
        <f>SUM(B38:B42)</f>
        <v/>
      </c>
      <c r="E42" s="2" t="n"/>
      <c r="F42" s="2" t="n"/>
      <c r="G42" s="2" t="n"/>
      <c r="H42" s="2" t="n"/>
      <c r="I42" s="2" t="n"/>
      <c r="J42" s="2" t="n"/>
      <c r="K42" s="2" t="n"/>
      <c r="L42" s="2" t="n"/>
      <c r="M42" s="2" t="n"/>
      <c r="N42" s="2" t="n"/>
      <c r="O42" s="2" t="n"/>
      <c r="P42" s="2" t="n"/>
      <c r="Q42" s="2" t="n"/>
      <c r="R42" s="2" t="n"/>
      <c r="S42" s="2" t="n"/>
      <c r="T42" s="2" t="n"/>
    </row>
    <row r="43" ht="20" customHeight="1">
      <c r="A43" s="128" t="inlineStr">
        <is>
          <t>27 Feb 2026</t>
        </is>
      </c>
      <c r="B43" s="32" t="n">
        <v>64</v>
      </c>
      <c r="C43" s="129" t="n">
        <v>10</v>
      </c>
      <c r="D43" s="127">
        <f>SUM(B38:B43)</f>
        <v/>
      </c>
      <c r="E43" s="2" t="n"/>
      <c r="F43" s="2" t="n"/>
      <c r="G43" s="2" t="n"/>
      <c r="H43" s="2" t="n"/>
      <c r="I43" s="2" t="n"/>
      <c r="J43" s="2" t="n"/>
      <c r="K43" s="2" t="n"/>
      <c r="L43" s="2" t="n"/>
      <c r="M43" s="2" t="n"/>
      <c r="N43" s="2" t="n"/>
      <c r="O43" s="2" t="n"/>
      <c r="P43" s="2" t="n"/>
      <c r="Q43" s="2" t="n"/>
      <c r="R43" s="2" t="n"/>
      <c r="S43" s="2" t="n"/>
      <c r="T43" s="2" t="n"/>
    </row>
    <row r="44" ht="20" customHeight="1">
      <c r="A44" s="125" t="inlineStr">
        <is>
          <t>28 Feb 2026</t>
        </is>
      </c>
      <c r="B44" s="32" t="n">
        <v>104</v>
      </c>
      <c r="C44" s="126" t="n">
        <v>6</v>
      </c>
      <c r="D44" s="127">
        <f>SUM(B38:B44)</f>
        <v/>
      </c>
      <c r="E44" s="2" t="n"/>
      <c r="F44" s="2" t="n"/>
      <c r="G44" s="2" t="n"/>
      <c r="H44" s="2" t="n"/>
      <c r="I44" s="2" t="n"/>
      <c r="J44" s="2" t="n"/>
      <c r="K44" s="2" t="n"/>
      <c r="L44" s="2" t="n"/>
      <c r="M44" s="2" t="n"/>
      <c r="N44" s="2" t="n"/>
      <c r="O44" s="2" t="n"/>
      <c r="P44" s="2" t="n"/>
      <c r="Q44" s="2" t="n"/>
      <c r="R44" s="2" t="n"/>
      <c r="S44" s="2" t="n"/>
      <c r="T44" s="2" t="n"/>
    </row>
    <row r="45" ht="20" customHeight="1">
      <c r="A45" s="128" t="inlineStr">
        <is>
          <t>01 Mar 2026</t>
        </is>
      </c>
      <c r="B45" s="32" t="n">
        <v>72</v>
      </c>
      <c r="C45" s="129" t="n">
        <v>9</v>
      </c>
      <c r="D45" s="127">
        <f>SUM(B38:B45)</f>
        <v/>
      </c>
      <c r="E45" s="2" t="n"/>
      <c r="F45" s="2" t="n"/>
      <c r="G45" s="2" t="n"/>
      <c r="H45" s="2" t="n"/>
      <c r="I45" s="2" t="n"/>
      <c r="J45" s="2" t="n"/>
      <c r="K45" s="2" t="n"/>
      <c r="L45" s="2" t="n"/>
      <c r="M45" s="2" t="n"/>
      <c r="N45" s="2" t="n"/>
      <c r="O45" s="2" t="n"/>
      <c r="P45" s="2" t="n"/>
      <c r="Q45" s="2" t="n"/>
      <c r="R45" s="2" t="n"/>
      <c r="S45" s="2" t="n"/>
      <c r="T45" s="2" t="n"/>
    </row>
    <row r="46" ht="20" customHeight="1">
      <c r="A46" s="125" t="inlineStr">
        <is>
          <t>02 Mar 2026</t>
        </is>
      </c>
      <c r="B46" s="32" t="n">
        <v>157</v>
      </c>
      <c r="C46" s="126" t="n">
        <v>6</v>
      </c>
      <c r="D46" s="127">
        <f>SUM(B38:B46)</f>
        <v/>
      </c>
      <c r="E46" s="2" t="n"/>
      <c r="F46" s="2" t="n"/>
      <c r="G46" s="2" t="n"/>
      <c r="H46" s="2" t="n"/>
      <c r="I46" s="2" t="n"/>
      <c r="J46" s="2" t="n"/>
      <c r="K46" s="2" t="n"/>
      <c r="L46" s="2" t="n"/>
      <c r="M46" s="2" t="n"/>
      <c r="N46" s="2" t="n"/>
      <c r="O46" s="2" t="n"/>
      <c r="P46" s="2" t="n"/>
      <c r="Q46" s="2" t="n"/>
      <c r="R46" s="2" t="n"/>
      <c r="S46" s="2" t="n"/>
      <c r="T46" s="2" t="n"/>
    </row>
    <row r="47" ht="20" customHeight="1">
      <c r="A47" s="128" t="inlineStr">
        <is>
          <t>03 Mar 2026</t>
        </is>
      </c>
      <c r="B47" s="32" t="n">
        <v>111</v>
      </c>
      <c r="C47" s="129" t="n">
        <v>6</v>
      </c>
      <c r="D47" s="127">
        <f>SUM(B38:B47)</f>
        <v/>
      </c>
      <c r="E47" s="2" t="n"/>
      <c r="F47" s="2" t="n"/>
      <c r="G47" s="2" t="n"/>
      <c r="H47" s="2" t="n"/>
      <c r="I47" s="2" t="n"/>
      <c r="J47" s="2" t="n"/>
      <c r="K47" s="2" t="n"/>
      <c r="L47" s="2" t="n"/>
      <c r="M47" s="2" t="n"/>
      <c r="N47" s="2" t="n"/>
      <c r="O47" s="2" t="n"/>
      <c r="P47" s="2" t="n"/>
      <c r="Q47" s="2" t="n"/>
      <c r="R47" s="2" t="n"/>
      <c r="S47" s="2" t="n"/>
      <c r="T47" s="2" t="n"/>
    </row>
    <row r="48" ht="20" customHeight="1">
      <c r="A48" s="125" t="inlineStr">
        <is>
          <t>04 Mar 2026</t>
        </is>
      </c>
      <c r="B48" s="32" t="n">
        <v>191</v>
      </c>
      <c r="C48" s="126" t="n">
        <v>9</v>
      </c>
      <c r="D48" s="127">
        <f>SUM(B38:B48)</f>
        <v/>
      </c>
      <c r="E48" s="2" t="n"/>
      <c r="F48" s="2" t="n"/>
      <c r="G48" s="2" t="n"/>
      <c r="H48" s="2" t="n"/>
      <c r="I48" s="2" t="n"/>
      <c r="J48" s="2" t="n"/>
      <c r="K48" s="2" t="n"/>
      <c r="L48" s="2" t="n"/>
      <c r="M48" s="2" t="n"/>
      <c r="N48" s="2" t="n"/>
      <c r="O48" s="2" t="n"/>
      <c r="P48" s="2" t="n"/>
      <c r="Q48" s="2" t="n"/>
      <c r="R48" s="2" t="n"/>
      <c r="S48" s="2" t="n"/>
      <c r="T48" s="2" t="n"/>
    </row>
    <row r="49" ht="20" customHeight="1">
      <c r="A49" s="128" t="inlineStr">
        <is>
          <t>05 Mar 2026</t>
        </is>
      </c>
      <c r="B49" s="32" t="n">
        <v>65</v>
      </c>
      <c r="C49" s="129" t="n">
        <v>12</v>
      </c>
      <c r="D49" s="127">
        <f>SUM(B38:B49)</f>
        <v/>
      </c>
      <c r="E49" s="2" t="n"/>
      <c r="F49" s="2" t="n"/>
      <c r="G49" s="2" t="n"/>
      <c r="H49" s="2" t="n"/>
      <c r="I49" s="2" t="n"/>
      <c r="J49" s="2" t="n"/>
      <c r="K49" s="2" t="n"/>
      <c r="L49" s="2" t="n"/>
      <c r="M49" s="2" t="n"/>
      <c r="N49" s="2" t="n"/>
      <c r="O49" s="2" t="n"/>
      <c r="P49" s="2" t="n"/>
      <c r="Q49" s="2" t="n"/>
      <c r="R49" s="2" t="n"/>
      <c r="S49" s="2" t="n"/>
      <c r="T49" s="2" t="n"/>
    </row>
    <row r="50" ht="20" customHeight="1">
      <c r="A50" s="125" t="inlineStr">
        <is>
          <t>06 Mar 2026</t>
        </is>
      </c>
      <c r="B50" s="32" t="n">
        <v>194</v>
      </c>
      <c r="C50" s="126" t="n">
        <v>6</v>
      </c>
      <c r="D50" s="127">
        <f>SUM(B38:B50)</f>
        <v/>
      </c>
      <c r="E50" s="2" t="n"/>
      <c r="F50" s="2" t="n"/>
      <c r="G50" s="2" t="n"/>
      <c r="H50" s="2" t="n"/>
      <c r="I50" s="2" t="n"/>
      <c r="J50" s="2" t="n"/>
      <c r="K50" s="2" t="n"/>
      <c r="L50" s="2" t="n"/>
      <c r="M50" s="2" t="n"/>
      <c r="N50" s="2" t="n"/>
      <c r="O50" s="2" t="n"/>
      <c r="P50" s="2" t="n"/>
      <c r="Q50" s="2" t="n"/>
      <c r="R50" s="2" t="n"/>
      <c r="S50" s="2" t="n"/>
      <c r="T50" s="2" t="n"/>
    </row>
    <row r="51" ht="20" customHeight="1">
      <c r="A51" s="128" t="inlineStr">
        <is>
          <t>07 Mar 2026</t>
        </is>
      </c>
      <c r="B51" s="32" t="n">
        <v>107</v>
      </c>
      <c r="C51" s="129" t="n">
        <v>11</v>
      </c>
      <c r="D51" s="127">
        <f>SUM(B38:B51)</f>
        <v/>
      </c>
      <c r="E51" s="2" t="n"/>
      <c r="F51" s="2" t="n"/>
      <c r="G51" s="2" t="n"/>
      <c r="H51" s="2" t="n"/>
      <c r="I51" s="2" t="n"/>
      <c r="J51" s="2" t="n"/>
      <c r="K51" s="2" t="n"/>
      <c r="L51" s="2" t="n"/>
      <c r="M51" s="2" t="n"/>
      <c r="N51" s="2" t="n"/>
      <c r="O51" s="2" t="n"/>
      <c r="P51" s="2" t="n"/>
      <c r="Q51" s="2" t="n"/>
      <c r="R51" s="2" t="n"/>
      <c r="S51" s="2" t="n"/>
      <c r="T51" s="2" t="n"/>
    </row>
    <row r="52" ht="20" customHeight="1">
      <c r="A52" s="125" t="inlineStr">
        <is>
          <t>08 Mar 2026</t>
        </is>
      </c>
      <c r="B52" s="32" t="n">
        <v>210</v>
      </c>
      <c r="C52" s="126" t="n">
        <v>10</v>
      </c>
      <c r="D52" s="127">
        <f>SUM(B38:B52)</f>
        <v/>
      </c>
      <c r="E52" s="2" t="n"/>
      <c r="F52" s="2" t="n"/>
      <c r="G52" s="2" t="n"/>
      <c r="H52" s="2" t="n"/>
      <c r="I52" s="2" t="n"/>
      <c r="J52" s="2" t="n"/>
      <c r="K52" s="2" t="n"/>
      <c r="L52" s="2" t="n"/>
      <c r="M52" s="2" t="n"/>
      <c r="N52" s="2" t="n"/>
      <c r="O52" s="2" t="n"/>
      <c r="P52" s="2" t="n"/>
      <c r="Q52" s="2" t="n"/>
      <c r="R52" s="2" t="n"/>
      <c r="S52" s="2" t="n"/>
      <c r="T52" s="2" t="n"/>
    </row>
    <row r="53" ht="20" customHeight="1">
      <c r="A53" s="128" t="inlineStr">
        <is>
          <t>09 Mar 2026</t>
        </is>
      </c>
      <c r="B53" s="32" t="n">
        <v>65</v>
      </c>
      <c r="C53" s="129" t="n">
        <v>10</v>
      </c>
      <c r="D53" s="127">
        <f>SUM(B38:B53)</f>
        <v/>
      </c>
      <c r="E53" s="2" t="n"/>
      <c r="F53" s="2" t="n"/>
      <c r="G53" s="2" t="n"/>
      <c r="H53" s="2" t="n"/>
      <c r="I53" s="2" t="n"/>
      <c r="J53" s="2" t="n"/>
      <c r="K53" s="2" t="n"/>
      <c r="L53" s="2" t="n"/>
      <c r="M53" s="2" t="n"/>
      <c r="N53" s="2" t="n"/>
      <c r="O53" s="2" t="n"/>
      <c r="P53" s="2" t="n"/>
      <c r="Q53" s="2" t="n"/>
      <c r="R53" s="2" t="n"/>
      <c r="S53" s="2" t="n"/>
      <c r="T53" s="2" t="n"/>
    </row>
    <row r="54" ht="20" customHeight="1">
      <c r="A54" s="125" t="inlineStr">
        <is>
          <t>10 Mar 2026</t>
        </is>
      </c>
      <c r="B54" s="32" t="n">
        <v>199</v>
      </c>
      <c r="C54" s="126" t="n">
        <v>9</v>
      </c>
      <c r="D54" s="127">
        <f>SUM(B38:B54)</f>
        <v/>
      </c>
      <c r="E54" s="2" t="n"/>
      <c r="F54" s="2" t="n"/>
      <c r="G54" s="2" t="n"/>
      <c r="H54" s="2" t="n"/>
      <c r="I54" s="2" t="n"/>
      <c r="J54" s="2" t="n"/>
      <c r="K54" s="2" t="n"/>
      <c r="L54" s="2" t="n"/>
      <c r="M54" s="2" t="n"/>
      <c r="N54" s="2" t="n"/>
      <c r="O54" s="2" t="n"/>
      <c r="P54" s="2" t="n"/>
      <c r="Q54" s="2" t="n"/>
      <c r="R54" s="2" t="n"/>
      <c r="S54" s="2" t="n"/>
      <c r="T54" s="2" t="n"/>
    </row>
    <row r="55" ht="20" customHeight="1">
      <c r="A55" s="128" t="inlineStr">
        <is>
          <t>11 Mar 2026</t>
        </is>
      </c>
      <c r="B55" s="32" t="n">
        <v>62</v>
      </c>
      <c r="C55" s="129" t="n">
        <v>7</v>
      </c>
      <c r="D55" s="127">
        <f>SUM(B38:B55)</f>
        <v/>
      </c>
      <c r="E55" s="2" t="n"/>
      <c r="F55" s="2" t="n"/>
      <c r="G55" s="2" t="n"/>
      <c r="H55" s="2" t="n"/>
      <c r="I55" s="2" t="n"/>
      <c r="J55" s="2" t="n"/>
      <c r="K55" s="2" t="n"/>
      <c r="L55" s="2" t="n"/>
      <c r="M55" s="2" t="n"/>
      <c r="N55" s="2" t="n"/>
      <c r="O55" s="2" t="n"/>
      <c r="P55" s="2" t="n"/>
      <c r="Q55" s="2" t="n"/>
      <c r="R55" s="2" t="n"/>
      <c r="S55" s="2" t="n"/>
      <c r="T55" s="2" t="n"/>
    </row>
    <row r="56" ht="20" customHeight="1">
      <c r="A56" s="125" t="inlineStr">
        <is>
          <t>12 Mar 2026</t>
        </is>
      </c>
      <c r="B56" s="32" t="n">
        <v>61</v>
      </c>
      <c r="C56" s="126" t="n">
        <v>10</v>
      </c>
      <c r="D56" s="127">
        <f>SUM(B38:B56)</f>
        <v/>
      </c>
      <c r="E56" s="2" t="n"/>
      <c r="F56" s="2" t="n"/>
      <c r="G56" s="2" t="n"/>
      <c r="H56" s="2" t="n"/>
      <c r="I56" s="2" t="n"/>
      <c r="J56" s="2" t="n"/>
      <c r="K56" s="2" t="n"/>
      <c r="L56" s="2" t="n"/>
      <c r="M56" s="2" t="n"/>
      <c r="N56" s="2" t="n"/>
      <c r="O56" s="2" t="n"/>
      <c r="P56" s="2" t="n"/>
      <c r="Q56" s="2" t="n"/>
      <c r="R56" s="2" t="n"/>
      <c r="S56" s="2" t="n"/>
      <c r="T56" s="2" t="n"/>
    </row>
    <row r="57" ht="20" customHeight="1">
      <c r="A57" s="128" t="inlineStr">
        <is>
          <t>13 Mar 2026</t>
        </is>
      </c>
      <c r="B57" s="32" t="n">
        <v>84</v>
      </c>
      <c r="C57" s="129" t="n">
        <v>8</v>
      </c>
      <c r="D57" s="127">
        <f>SUM(B38:B57)</f>
        <v/>
      </c>
      <c r="E57" s="2" t="n"/>
      <c r="F57" s="2" t="n"/>
      <c r="G57" s="2" t="n"/>
      <c r="H57" s="2" t="n"/>
      <c r="I57" s="2" t="n"/>
      <c r="J57" s="2" t="n"/>
      <c r="K57" s="2" t="n"/>
      <c r="L57" s="2" t="n"/>
      <c r="M57" s="2" t="n"/>
      <c r="N57" s="2" t="n"/>
      <c r="O57" s="2" t="n"/>
      <c r="P57" s="2" t="n"/>
      <c r="Q57" s="2" t="n"/>
      <c r="R57" s="2" t="n"/>
      <c r="S57" s="2" t="n"/>
      <c r="T57" s="2" t="n"/>
    </row>
    <row r="58" ht="20" customHeight="1">
      <c r="A58" s="125" t="inlineStr">
        <is>
          <t>14 Mar 2026</t>
        </is>
      </c>
      <c r="B58" s="32" t="n">
        <v>157</v>
      </c>
      <c r="C58" s="126" t="n">
        <v>7</v>
      </c>
      <c r="D58" s="127">
        <f>SUM(B38:B58)</f>
        <v/>
      </c>
      <c r="E58" s="2" t="n"/>
      <c r="F58" s="2" t="n"/>
      <c r="G58" s="2" t="n"/>
      <c r="H58" s="2" t="n"/>
      <c r="I58" s="2" t="n"/>
      <c r="J58" s="2" t="n"/>
      <c r="K58" s="2" t="n"/>
      <c r="L58" s="2" t="n"/>
      <c r="M58" s="2" t="n"/>
      <c r="N58" s="2" t="n"/>
      <c r="O58" s="2" t="n"/>
      <c r="P58" s="2" t="n"/>
      <c r="Q58" s="2" t="n"/>
      <c r="R58" s="2" t="n"/>
      <c r="S58" s="2" t="n"/>
      <c r="T58" s="2" t="n"/>
    </row>
    <row r="59" ht="20" customHeight="1">
      <c r="A59" s="128" t="inlineStr">
        <is>
          <t>15 Mar 2026</t>
        </is>
      </c>
      <c r="B59" s="32" t="n">
        <v>188</v>
      </c>
      <c r="C59" s="129" t="n">
        <v>6</v>
      </c>
      <c r="D59" s="127">
        <f>SUM(B38:B59)</f>
        <v/>
      </c>
      <c r="E59" s="2" t="n"/>
      <c r="F59" s="2" t="n"/>
      <c r="G59" s="2" t="n"/>
      <c r="H59" s="2" t="n"/>
      <c r="I59" s="2" t="n"/>
      <c r="J59" s="2" t="n"/>
      <c r="K59" s="2" t="n"/>
      <c r="L59" s="2" t="n"/>
      <c r="M59" s="2" t="n"/>
      <c r="N59" s="2" t="n"/>
      <c r="O59" s="2" t="n"/>
      <c r="P59" s="2" t="n"/>
      <c r="Q59" s="2" t="n"/>
      <c r="R59" s="2" t="n"/>
      <c r="S59" s="2" t="n"/>
      <c r="T59" s="2" t="n"/>
    </row>
    <row r="60" ht="20" customHeight="1">
      <c r="A60" s="125" t="inlineStr">
        <is>
          <t>16 Mar 2026</t>
        </is>
      </c>
      <c r="B60" s="32" t="n">
        <v>196</v>
      </c>
      <c r="C60" s="126" t="n">
        <v>8</v>
      </c>
      <c r="D60" s="127">
        <f>SUM(B38:B60)</f>
        <v/>
      </c>
      <c r="E60" s="2" t="n"/>
      <c r="F60" s="2" t="n"/>
      <c r="G60" s="2" t="n"/>
      <c r="H60" s="2" t="n"/>
      <c r="I60" s="2" t="n"/>
      <c r="J60" s="2" t="n"/>
      <c r="K60" s="2" t="n"/>
      <c r="L60" s="2" t="n"/>
      <c r="M60" s="2" t="n"/>
      <c r="N60" s="2" t="n"/>
      <c r="O60" s="2" t="n"/>
      <c r="P60" s="2" t="n"/>
      <c r="Q60" s="2" t="n"/>
      <c r="R60" s="2" t="n"/>
      <c r="S60" s="2" t="n"/>
      <c r="T60" s="2" t="n"/>
    </row>
    <row r="61" ht="20" customHeight="1">
      <c r="A61" s="128" t="inlineStr">
        <is>
          <t>17 Mar 2026</t>
        </is>
      </c>
      <c r="B61" s="32" t="n">
        <v>193</v>
      </c>
      <c r="C61" s="129" t="n">
        <v>12</v>
      </c>
      <c r="D61" s="127">
        <f>SUM(B38:B61)</f>
        <v/>
      </c>
    </row>
    <row r="62" ht="20" customHeight="1">
      <c r="A62" s="125" t="inlineStr">
        <is>
          <t>18 Mar 2026</t>
        </is>
      </c>
      <c r="B62" s="32" t="n">
        <v>96</v>
      </c>
      <c r="C62" s="126" t="n">
        <v>6</v>
      </c>
      <c r="D62" s="127">
        <f>SUM(B38:B62)</f>
        <v/>
      </c>
    </row>
    <row r="63" ht="20" customHeight="1">
      <c r="A63" s="128" t="inlineStr">
        <is>
          <t>19 Mar 2026</t>
        </is>
      </c>
      <c r="B63" s="32" t="n">
        <v>198</v>
      </c>
      <c r="C63" s="129" t="n">
        <v>10</v>
      </c>
      <c r="D63" s="127">
        <f>SUM(B38:B63)</f>
        <v/>
      </c>
    </row>
    <row r="64" ht="20" customHeight="1">
      <c r="A64" s="125" t="inlineStr">
        <is>
          <t>20 Mar 2026</t>
        </is>
      </c>
      <c r="B64" s="32" t="n">
        <v>213</v>
      </c>
      <c r="C64" s="126" t="n">
        <v>7</v>
      </c>
      <c r="D64" s="127">
        <f>SUM(B38:B64)</f>
        <v/>
      </c>
    </row>
    <row r="65" ht="20" customHeight="1">
      <c r="A65" s="128" t="inlineStr">
        <is>
          <t>21 Mar 2026</t>
        </is>
      </c>
      <c r="B65" s="32" t="n">
        <v>145</v>
      </c>
      <c r="C65" s="129" t="n">
        <v>6</v>
      </c>
      <c r="D65" s="127">
        <f>SUM(B38:B65)</f>
        <v/>
      </c>
    </row>
    <row r="66" ht="20" customHeight="1">
      <c r="A66" s="125" t="inlineStr">
        <is>
          <t>22 Mar 2026</t>
        </is>
      </c>
      <c r="B66" s="32" t="n">
        <v>190</v>
      </c>
      <c r="C66" s="126" t="n">
        <v>11</v>
      </c>
      <c r="D66" s="127">
        <f>SUM(B38:B66)</f>
        <v/>
      </c>
    </row>
    <row r="67" ht="20" customHeight="1">
      <c r="A67" s="128" t="inlineStr">
        <is>
          <t>23 Mar 2026</t>
        </is>
      </c>
      <c r="B67" s="130" t="n">
        <v>0</v>
      </c>
      <c r="C67" s="129" t="n">
        <v>0</v>
      </c>
      <c r="D67" s="127">
        <f>SUM(B38:B67)</f>
        <v/>
      </c>
    </row>
  </sheetData>
  <mergeCells count="16">
    <mergeCell ref="C16:E16"/>
    <mergeCell ref="A4:E4"/>
    <mergeCell ref="C14:E14"/>
    <mergeCell ref="A16:B16"/>
    <mergeCell ref="C13:E13"/>
    <mergeCell ref="A20:K20"/>
    <mergeCell ref="A1:P1"/>
    <mergeCell ref="A15:E15"/>
    <mergeCell ref="A5:E10"/>
    <mergeCell ref="A11:E12"/>
    <mergeCell ref="A13:B13"/>
    <mergeCell ref="A14:B14"/>
    <mergeCell ref="A36:K36"/>
    <mergeCell ref="A17:E17"/>
    <mergeCell ref="G4:K4"/>
    <mergeCell ref="A2:P2"/>
  </mergeCells>
  <pageMargins left="0.75" right="0.75" top="1" bottom="1" header="0.5" footer="0.5"/>
</worksheet>
</file>

<file path=xl/worksheets/sheet5.xml><?xml version="1.0" encoding="utf-8"?>
<worksheet xmlns="http://schemas.openxmlformats.org/spreadsheetml/2006/main">
  <sheetPr>
    <tabColor rgb="008B5CF6"/>
    <outlinePr summaryBelow="1" summaryRight="1"/>
    <pageSetUpPr/>
  </sheetPr>
  <dimension ref="A1:BF20"/>
  <sheetViews>
    <sheetView showGridLines="0" workbookViewId="0">
      <selection activeCell="A1" sqref="A1"/>
    </sheetView>
  </sheetViews>
  <sheetFormatPr baseColWidth="8" defaultRowHeight="15"/>
  <cols>
    <col width="4" customWidth="1" min="1" max="1"/>
    <col width="7" customWidth="1" min="2" max="2"/>
    <col width="7" customWidth="1" min="3" max="3"/>
    <col width="7" customWidth="1" min="4" max="4"/>
    <col width="7" customWidth="1" min="5" max="5"/>
    <col width="7"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s>
  <sheetData>
    <row r="1" ht="46" customHeight="1">
      <c r="A1" s="1" t="inlineStr">
        <is>
          <t xml:space="preserve">   🗓  Completion Heatmap — 2026</t>
        </is>
      </c>
      <c r="BF1" s="2" t="n"/>
    </row>
    <row r="2" ht="18" customHeight="1">
      <c r="A2" s="3" t="inlineStr">
        <is>
          <t>One cell per day. Purple intensity = XP earned. Your momentum visualised.</t>
        </is>
      </c>
      <c r="BF2" s="2" t="n"/>
    </row>
    <row r="3" ht="6" customHeight="1">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c r="BE3" s="2" t="n"/>
      <c r="BF3" s="2" t="n"/>
    </row>
    <row r="4" ht="14" customHeight="1">
      <c r="A4" s="2" t="n"/>
      <c r="B4" s="131" t="inlineStr">
        <is>
          <t>Jan</t>
        </is>
      </c>
      <c r="C4" s="2" t="n"/>
      <c r="D4" s="2" t="n"/>
      <c r="E4" s="2" t="n"/>
      <c r="F4" s="131" t="inlineStr">
        <is>
          <t>Feb</t>
        </is>
      </c>
      <c r="G4" s="2" t="n"/>
      <c r="H4" s="2" t="n"/>
      <c r="I4" s="2" t="n"/>
      <c r="J4" s="131" t="inlineStr">
        <is>
          <t>Mar</t>
        </is>
      </c>
      <c r="K4" s="2" t="n"/>
      <c r="L4" s="2" t="n"/>
      <c r="M4" s="2" t="n"/>
      <c r="N4" s="131" t="inlineStr">
        <is>
          <t>Apr</t>
        </is>
      </c>
      <c r="O4" s="2" t="n"/>
      <c r="P4" s="2" t="n"/>
      <c r="Q4" s="2" t="n"/>
      <c r="R4" s="2" t="n"/>
      <c r="S4" s="131" t="inlineStr">
        <is>
          <t>May</t>
        </is>
      </c>
      <c r="T4" s="2" t="n"/>
      <c r="U4" s="2" t="n"/>
      <c r="V4" s="2" t="n"/>
      <c r="W4" s="131" t="inlineStr">
        <is>
          <t>Jun</t>
        </is>
      </c>
      <c r="X4" s="2" t="n"/>
      <c r="Y4" s="2" t="n"/>
      <c r="Z4" s="2" t="n"/>
      <c r="AA4" s="131" t="inlineStr">
        <is>
          <t>Jul</t>
        </is>
      </c>
      <c r="AB4" s="2" t="n"/>
      <c r="AC4" s="2" t="n"/>
      <c r="AD4" s="2" t="n"/>
      <c r="AE4" s="2" t="n"/>
      <c r="AF4" s="131" t="inlineStr">
        <is>
          <t>Aug</t>
        </is>
      </c>
      <c r="AG4" s="2" t="n"/>
      <c r="AH4" s="2" t="n"/>
      <c r="AI4" s="2" t="n"/>
      <c r="AJ4" s="131" t="inlineStr">
        <is>
          <t>Sep</t>
        </is>
      </c>
      <c r="AK4" s="2" t="n"/>
      <c r="AL4" s="2" t="n"/>
      <c r="AM4" s="2" t="n"/>
      <c r="AN4" s="2" t="n"/>
      <c r="AO4" s="131" t="inlineStr">
        <is>
          <t>Oct</t>
        </is>
      </c>
      <c r="AP4" s="2" t="n"/>
      <c r="AQ4" s="2" t="n"/>
      <c r="AR4" s="2" t="n"/>
      <c r="AS4" s="131" t="inlineStr">
        <is>
          <t>Nov</t>
        </is>
      </c>
      <c r="AT4" s="2" t="n"/>
      <c r="AU4" s="2" t="n"/>
      <c r="AV4" s="2" t="n"/>
      <c r="AW4" s="131" t="inlineStr">
        <is>
          <t>Dec</t>
        </is>
      </c>
      <c r="AX4" s="2" t="n"/>
      <c r="AY4" s="2" t="n"/>
      <c r="AZ4" s="2" t="n"/>
      <c r="BA4" s="2" t="n"/>
      <c r="BB4" s="2" t="n"/>
      <c r="BC4" s="2" t="n"/>
      <c r="BD4" s="2" t="n"/>
      <c r="BE4" s="2" t="n"/>
      <c r="BF4" s="2" t="n"/>
    </row>
    <row r="5" ht="13" customHeight="1">
      <c r="A5" s="132" t="inlineStr">
        <is>
          <t>M</t>
        </is>
      </c>
      <c r="B5" s="133" t="n">
        <v>52</v>
      </c>
      <c r="C5" s="134" t="n">
        <v>119</v>
      </c>
      <c r="D5" s="133" t="n">
        <v>46</v>
      </c>
      <c r="E5" s="134" t="n">
        <v>134</v>
      </c>
      <c r="F5" s="133" t="n">
        <v>18</v>
      </c>
      <c r="G5" s="133" t="n">
        <v>38</v>
      </c>
      <c r="H5" s="134" t="n">
        <v>142</v>
      </c>
      <c r="I5" s="135" t="n">
        <v>89</v>
      </c>
      <c r="J5" s="136" t="n">
        <v>215</v>
      </c>
      <c r="K5" s="133" t="n">
        <v>15</v>
      </c>
      <c r="L5" s="136" t="n">
        <v>210</v>
      </c>
      <c r="M5" s="137"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n"/>
      <c r="AY5" s="2" t="n"/>
      <c r="AZ5" s="2" t="n"/>
      <c r="BA5" s="2" t="n"/>
      <c r="BB5" s="2" t="n"/>
      <c r="BC5" s="2" t="n"/>
      <c r="BD5" s="2" t="n"/>
      <c r="BE5" s="2" t="n"/>
      <c r="BF5" s="2" t="n"/>
    </row>
    <row r="6" ht="13" customHeight="1">
      <c r="A6" s="132" t="inlineStr">
        <is>
          <t>T</t>
        </is>
      </c>
      <c r="B6" s="134" t="n">
        <v>127</v>
      </c>
      <c r="C6" s="134" t="n">
        <v>149</v>
      </c>
      <c r="D6" s="136" t="n">
        <v>178</v>
      </c>
      <c r="E6" s="134" t="n">
        <v>126</v>
      </c>
      <c r="F6" s="133" t="n">
        <v>30</v>
      </c>
      <c r="G6" s="134" t="n">
        <v>125</v>
      </c>
      <c r="H6" s="134" t="n">
        <v>146</v>
      </c>
      <c r="I6" s="134" t="n">
        <v>152</v>
      </c>
      <c r="J6" s="133" t="n">
        <v>23</v>
      </c>
      <c r="K6" s="136" t="n">
        <v>187</v>
      </c>
      <c r="L6" s="134" t="n">
        <v>114</v>
      </c>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c r="AY6" s="2" t="n"/>
      <c r="AZ6" s="2" t="n"/>
      <c r="BA6" s="2" t="n"/>
      <c r="BB6" s="2" t="n"/>
      <c r="BC6" s="2" t="n"/>
      <c r="BD6" s="2" t="n"/>
      <c r="BE6" s="2" t="n"/>
      <c r="BF6" s="2" t="n"/>
    </row>
    <row r="7" ht="13" customHeight="1">
      <c r="A7" s="132" t="inlineStr">
        <is>
          <t>W</t>
        </is>
      </c>
      <c r="B7" s="136" t="n">
        <v>174</v>
      </c>
      <c r="C7" s="134" t="n">
        <v>116</v>
      </c>
      <c r="D7" s="136" t="n">
        <v>199</v>
      </c>
      <c r="E7" s="135" t="n">
        <v>87</v>
      </c>
      <c r="F7" s="134" t="n">
        <v>131</v>
      </c>
      <c r="G7" s="135" t="n">
        <v>107</v>
      </c>
      <c r="H7" s="136" t="n">
        <v>202</v>
      </c>
      <c r="I7" s="134" t="n">
        <v>127</v>
      </c>
      <c r="J7" s="135" t="n">
        <v>69</v>
      </c>
      <c r="K7" s="136" t="n">
        <v>179</v>
      </c>
      <c r="L7" s="135" t="n">
        <v>72</v>
      </c>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row>
    <row r="8" ht="13" customHeight="1">
      <c r="A8" s="132" t="inlineStr">
        <is>
          <t>T</t>
        </is>
      </c>
      <c r="B8" s="133" t="n">
        <v>16</v>
      </c>
      <c r="C8" s="134" t="n">
        <v>136</v>
      </c>
      <c r="D8" s="135" t="n">
        <v>92</v>
      </c>
      <c r="E8" s="135" t="n">
        <v>62</v>
      </c>
      <c r="F8" s="136" t="n">
        <v>186</v>
      </c>
      <c r="G8" s="135" t="n">
        <v>107</v>
      </c>
      <c r="H8" s="133" t="n">
        <v>10</v>
      </c>
      <c r="I8" s="136" t="n">
        <v>209</v>
      </c>
      <c r="J8" s="134" t="n">
        <v>148</v>
      </c>
      <c r="K8" s="134" t="n">
        <v>121</v>
      </c>
      <c r="L8" s="135" t="n">
        <v>79</v>
      </c>
      <c r="M8" s="136" t="n">
        <v>183</v>
      </c>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2" t="n"/>
      <c r="AS8" s="2" t="n"/>
      <c r="AT8" s="2" t="n"/>
      <c r="AU8" s="2" t="n"/>
      <c r="AV8" s="2" t="n"/>
      <c r="AW8" s="2" t="n"/>
      <c r="AX8" s="2" t="n"/>
      <c r="AY8" s="2" t="n"/>
      <c r="AZ8" s="2" t="n"/>
      <c r="BA8" s="2" t="n"/>
      <c r="BB8" s="2" t="n"/>
      <c r="BC8" s="2" t="n"/>
      <c r="BD8" s="2" t="n"/>
      <c r="BE8" s="2" t="n"/>
      <c r="BF8" s="2" t="n"/>
    </row>
    <row r="9" ht="13" customHeight="1">
      <c r="A9" s="132" t="inlineStr">
        <is>
          <t>F</t>
        </is>
      </c>
      <c r="B9" s="134" t="n">
        <v>144</v>
      </c>
      <c r="C9" s="135" t="n">
        <v>109</v>
      </c>
      <c r="D9" s="135" t="n">
        <v>76</v>
      </c>
      <c r="E9" s="133" t="n">
        <v>20</v>
      </c>
      <c r="F9" s="134" t="n">
        <v>114</v>
      </c>
      <c r="G9" s="133" t="n">
        <v>42</v>
      </c>
      <c r="H9" s="136" t="n">
        <v>171</v>
      </c>
      <c r="I9" s="135" t="n">
        <v>80</v>
      </c>
      <c r="J9" s="136" t="n">
        <v>204</v>
      </c>
      <c r="K9" s="136" t="n">
        <v>178</v>
      </c>
      <c r="L9" s="134" t="n">
        <v>165</v>
      </c>
      <c r="M9" s="135" t="n">
        <v>98</v>
      </c>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2" t="n"/>
      <c r="AS9" s="2" t="n"/>
      <c r="AT9" s="2" t="n"/>
      <c r="AU9" s="2" t="n"/>
      <c r="AV9" s="2" t="n"/>
      <c r="AW9" s="2" t="n"/>
      <c r="AX9" s="2" t="n"/>
      <c r="AY9" s="2" t="n"/>
      <c r="AZ9" s="2" t="n"/>
      <c r="BA9" s="2" t="n"/>
      <c r="BB9" s="2" t="n"/>
      <c r="BC9" s="2" t="n"/>
      <c r="BD9" s="2" t="n"/>
      <c r="BE9" s="2" t="n"/>
      <c r="BF9" s="2" t="n"/>
    </row>
    <row r="10" ht="13" customHeight="1">
      <c r="A10" s="132" t="inlineStr">
        <is>
          <t>S</t>
        </is>
      </c>
      <c r="B10" s="133" t="n">
        <v>15</v>
      </c>
      <c r="C10" s="136" t="n">
        <v>198</v>
      </c>
      <c r="D10" s="135" t="n">
        <v>63</v>
      </c>
      <c r="E10" s="134" t="n">
        <v>147</v>
      </c>
      <c r="F10" s="135" t="n">
        <v>73</v>
      </c>
      <c r="G10" s="136" t="n">
        <v>193</v>
      </c>
      <c r="H10" s="133" t="n">
        <v>19</v>
      </c>
      <c r="I10" s="135" t="n">
        <v>87</v>
      </c>
      <c r="J10" s="134" t="n">
        <v>116</v>
      </c>
      <c r="K10" s="136" t="n">
        <v>170</v>
      </c>
      <c r="L10" s="134" t="n">
        <v>147</v>
      </c>
      <c r="M10" s="136" t="n">
        <v>171</v>
      </c>
      <c r="N10" s="2" t="n"/>
      <c r="O10" s="2" t="n"/>
      <c r="P10" s="2" t="n"/>
      <c r="Q10" s="2" t="n"/>
      <c r="R10" s="2" t="n"/>
      <c r="S10" s="2" t="n"/>
      <c r="T10" s="2" t="n"/>
      <c r="U10" s="2" t="n"/>
      <c r="V10" s="2" t="n"/>
      <c r="W10" s="2" t="n"/>
      <c r="X10" s="2" t="n"/>
      <c r="Y10" s="2" t="n"/>
      <c r="Z10" s="2" t="n"/>
      <c r="AA10" s="2" t="n"/>
      <c r="AB10" s="2" t="n"/>
      <c r="AC10" s="2" t="n"/>
      <c r="AD10" s="2" t="n"/>
      <c r="AE10" s="2" t="n"/>
      <c r="AF10" s="2" t="n"/>
      <c r="AG10" s="2" t="n"/>
      <c r="AH10" s="2" t="n"/>
      <c r="AI10" s="2" t="n"/>
      <c r="AJ10" s="2" t="n"/>
      <c r="AK10" s="2" t="n"/>
      <c r="AL10" s="2" t="n"/>
      <c r="AM10" s="2" t="n"/>
      <c r="AN10" s="2" t="n"/>
      <c r="AO10" s="2" t="n"/>
      <c r="AP10" s="2" t="n"/>
      <c r="AQ10" s="2" t="n"/>
      <c r="AR10" s="2" t="n"/>
      <c r="AS10" s="2" t="n"/>
      <c r="AT10" s="2" t="n"/>
      <c r="AU10" s="2" t="n"/>
      <c r="AV10" s="2" t="n"/>
      <c r="AW10" s="2" t="n"/>
      <c r="AX10" s="2" t="n"/>
      <c r="AY10" s="2" t="n"/>
      <c r="AZ10" s="2" t="n"/>
      <c r="BA10" s="2" t="n"/>
      <c r="BB10" s="2" t="n"/>
      <c r="BC10" s="2" t="n"/>
      <c r="BD10" s="2" t="n"/>
      <c r="BE10" s="2" t="n"/>
      <c r="BF10" s="2" t="n"/>
    </row>
    <row r="11" ht="13" customHeight="1">
      <c r="A11" s="132" t="inlineStr">
        <is>
          <t>S</t>
        </is>
      </c>
      <c r="B11" s="134" t="n">
        <v>158</v>
      </c>
      <c r="C11" s="135" t="n">
        <v>80</v>
      </c>
      <c r="D11" s="136" t="n">
        <v>203</v>
      </c>
      <c r="E11" s="135" t="n">
        <v>76</v>
      </c>
      <c r="F11" s="134" t="n">
        <v>155</v>
      </c>
      <c r="G11" s="135" t="n">
        <v>87</v>
      </c>
      <c r="H11" s="136" t="n">
        <v>195</v>
      </c>
      <c r="I11" s="136" t="n">
        <v>177</v>
      </c>
      <c r="J11" s="133" t="n">
        <v>17</v>
      </c>
      <c r="K11" s="133" t="n">
        <v>16</v>
      </c>
      <c r="L11" s="136" t="n">
        <v>174</v>
      </c>
      <c r="M11" s="135" t="n">
        <v>88</v>
      </c>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2" t="n"/>
      <c r="AS11" s="2" t="n"/>
      <c r="AT11" s="2" t="n"/>
      <c r="AU11" s="2" t="n"/>
      <c r="AV11" s="2" t="n"/>
      <c r="AW11" s="2" t="n"/>
      <c r="AX11" s="2" t="n"/>
      <c r="AY11" s="2" t="n"/>
      <c r="AZ11" s="2" t="n"/>
      <c r="BA11" s="2" t="n"/>
      <c r="BB11" s="2" t="n"/>
      <c r="BC11" s="2" t="n"/>
      <c r="BD11" s="2" t="n"/>
      <c r="BE11" s="2" t="n"/>
      <c r="BF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c r="AI12" s="2" t="n"/>
      <c r="AJ12" s="2" t="n"/>
      <c r="AK12" s="2" t="n"/>
      <c r="AL12" s="2" t="n"/>
      <c r="AM12" s="2" t="n"/>
      <c r="AN12" s="2" t="n"/>
      <c r="AO12" s="2" t="n"/>
      <c r="AP12" s="2" t="n"/>
      <c r="AQ12" s="2" t="n"/>
      <c r="AR12" s="2" t="n"/>
      <c r="AS12" s="2" t="n"/>
      <c r="AT12" s="2" t="n"/>
      <c r="AU12" s="2" t="n"/>
      <c r="AV12" s="2" t="n"/>
      <c r="AW12" s="2" t="n"/>
      <c r="AX12" s="2" t="n"/>
      <c r="AY12" s="2" t="n"/>
      <c r="AZ12" s="2" t="n"/>
      <c r="BA12" s="2" t="n"/>
      <c r="BB12" s="2" t="n"/>
      <c r="BC12" s="2" t="n"/>
      <c r="BD12" s="2" t="n"/>
      <c r="BE12" s="2" t="n"/>
      <c r="BF12" s="2" t="n"/>
    </row>
    <row r="13" ht="10" customHeight="1">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c r="AM13" s="2" t="n"/>
      <c r="AN13" s="2" t="n"/>
      <c r="AO13" s="2" t="n"/>
      <c r="AP13" s="2" t="n"/>
      <c r="AQ13" s="2" t="n"/>
      <c r="AR13" s="2" t="n"/>
      <c r="AS13" s="2" t="n"/>
      <c r="AT13" s="2" t="n"/>
      <c r="AU13" s="2" t="n"/>
      <c r="AV13" s="2" t="n"/>
      <c r="AW13" s="2" t="n"/>
      <c r="AX13" s="2" t="n"/>
      <c r="AY13" s="2" t="n"/>
      <c r="AZ13" s="2" t="n"/>
      <c r="BA13" s="2" t="n"/>
      <c r="BB13" s="2" t="n"/>
      <c r="BC13" s="2" t="n"/>
      <c r="BD13" s="2" t="n"/>
      <c r="BE13" s="2" t="n"/>
      <c r="BF13" s="2" t="n"/>
    </row>
    <row r="14" ht="16" customHeight="1">
      <c r="A14" s="138" t="inlineStr">
        <is>
          <t>Less</t>
        </is>
      </c>
      <c r="B14" s="139" t="inlineStr">
        <is>
          <t>None</t>
        </is>
      </c>
      <c r="C14" s="140" t="inlineStr">
        <is>
          <t>Low</t>
        </is>
      </c>
      <c r="D14" s="141" t="inlineStr">
        <is>
          <t>Mid</t>
        </is>
      </c>
      <c r="E14" s="134" t="inlineStr">
        <is>
          <t>High</t>
        </is>
      </c>
      <c r="F14" s="136" t="inlineStr">
        <is>
          <t>Max</t>
        </is>
      </c>
      <c r="G14" s="138" t="inlineStr">
        <is>
          <t>More</t>
        </is>
      </c>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c r="AD14" s="2" t="n"/>
      <c r="AE14" s="2" t="n"/>
      <c r="AF14" s="2" t="n"/>
      <c r="AG14" s="2" t="n"/>
      <c r="AH14" s="2" t="n"/>
      <c r="AI14" s="2" t="n"/>
      <c r="AJ14" s="2" t="n"/>
      <c r="AK14" s="2" t="n"/>
      <c r="AL14" s="2" t="n"/>
      <c r="AM14" s="2" t="n"/>
      <c r="AN14" s="2" t="n"/>
      <c r="AO14" s="2" t="n"/>
      <c r="AP14" s="2" t="n"/>
      <c r="AQ14" s="2" t="n"/>
      <c r="AR14" s="2" t="n"/>
      <c r="AS14" s="2" t="n"/>
      <c r="AT14" s="2" t="n"/>
      <c r="AU14" s="2" t="n"/>
      <c r="AV14" s="2" t="n"/>
      <c r="AW14" s="2" t="n"/>
      <c r="AX14" s="2" t="n"/>
      <c r="AY14" s="2" t="n"/>
      <c r="AZ14" s="2" t="n"/>
      <c r="BA14" s="2" t="n"/>
      <c r="BB14" s="2" t="n"/>
      <c r="BC14" s="2" t="n"/>
      <c r="BD14" s="2" t="n"/>
      <c r="BE14" s="2" t="n"/>
      <c r="BF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c r="AC15" s="2" t="n"/>
      <c r="AD15" s="2" t="n"/>
      <c r="AE15" s="2" t="n"/>
      <c r="AF15" s="2" t="n"/>
      <c r="AG15" s="2" t="n"/>
      <c r="AH15" s="2" t="n"/>
      <c r="AI15" s="2" t="n"/>
      <c r="AJ15" s="2" t="n"/>
      <c r="AK15" s="2" t="n"/>
      <c r="AL15" s="2" t="n"/>
      <c r="AM15" s="2" t="n"/>
      <c r="AN15" s="2" t="n"/>
      <c r="AO15" s="2" t="n"/>
      <c r="AP15" s="2" t="n"/>
      <c r="AQ15" s="2" t="n"/>
      <c r="AR15" s="2" t="n"/>
      <c r="AS15" s="2" t="n"/>
      <c r="AT15" s="2" t="n"/>
      <c r="AU15" s="2" t="n"/>
      <c r="AV15" s="2" t="n"/>
      <c r="AW15" s="2" t="n"/>
      <c r="AX15" s="2" t="n"/>
      <c r="AY15" s="2" t="n"/>
      <c r="AZ15" s="2" t="n"/>
      <c r="BA15" s="2" t="n"/>
      <c r="BB15" s="2" t="n"/>
      <c r="BC15" s="2" t="n"/>
      <c r="BD15" s="2" t="n"/>
      <c r="BE15" s="2" t="n"/>
      <c r="BF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c r="AJ16" s="2" t="n"/>
      <c r="AK16" s="2" t="n"/>
      <c r="AL16" s="2" t="n"/>
      <c r="AM16" s="2" t="n"/>
      <c r="AN16" s="2" t="n"/>
      <c r="AO16" s="2" t="n"/>
      <c r="AP16" s="2" t="n"/>
      <c r="AQ16" s="2" t="n"/>
      <c r="AR16" s="2" t="n"/>
      <c r="AS16" s="2" t="n"/>
      <c r="AT16" s="2" t="n"/>
      <c r="AU16" s="2" t="n"/>
      <c r="AV16" s="2" t="n"/>
      <c r="AW16" s="2" t="n"/>
      <c r="AX16" s="2" t="n"/>
      <c r="AY16" s="2" t="n"/>
      <c r="AZ16" s="2" t="n"/>
      <c r="BA16" s="2" t="n"/>
      <c r="BB16" s="2" t="n"/>
      <c r="BC16" s="2" t="n"/>
      <c r="BD16" s="2" t="n"/>
      <c r="BE16" s="2" t="n"/>
      <c r="BF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c r="AC17" s="2" t="n"/>
      <c r="AD17" s="2" t="n"/>
      <c r="AE17" s="2" t="n"/>
      <c r="AF17" s="2" t="n"/>
      <c r="AG17" s="2" t="n"/>
      <c r="AH17" s="2" t="n"/>
      <c r="AI17" s="2" t="n"/>
      <c r="AJ17" s="2" t="n"/>
      <c r="AK17" s="2" t="n"/>
      <c r="AL17" s="2" t="n"/>
      <c r="AM17" s="2" t="n"/>
      <c r="AN17" s="2" t="n"/>
      <c r="AO17" s="2" t="n"/>
      <c r="AP17" s="2" t="n"/>
      <c r="AQ17" s="2" t="n"/>
      <c r="AR17" s="2" t="n"/>
      <c r="AS17" s="2" t="n"/>
      <c r="AT17" s="2" t="n"/>
      <c r="AU17" s="2" t="n"/>
      <c r="AV17" s="2" t="n"/>
      <c r="AW17" s="2" t="n"/>
      <c r="AX17" s="2" t="n"/>
      <c r="AY17" s="2" t="n"/>
      <c r="AZ17" s="2" t="n"/>
      <c r="BA17" s="2" t="n"/>
      <c r="BB17" s="2" t="n"/>
      <c r="BC17" s="2" t="n"/>
      <c r="BD17" s="2" t="n"/>
      <c r="BE17" s="2" t="n"/>
      <c r="BF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c r="AC18" s="2" t="n"/>
      <c r="AD18" s="2" t="n"/>
      <c r="AE18" s="2" t="n"/>
      <c r="AF18" s="2" t="n"/>
      <c r="AG18" s="2" t="n"/>
      <c r="AH18" s="2" t="n"/>
      <c r="AI18" s="2" t="n"/>
      <c r="AJ18" s="2" t="n"/>
      <c r="AK18" s="2" t="n"/>
      <c r="AL18" s="2" t="n"/>
      <c r="AM18" s="2" t="n"/>
      <c r="AN18" s="2" t="n"/>
      <c r="AO18" s="2" t="n"/>
      <c r="AP18" s="2" t="n"/>
      <c r="AQ18" s="2" t="n"/>
      <c r="AR18" s="2" t="n"/>
      <c r="AS18" s="2" t="n"/>
      <c r="AT18" s="2" t="n"/>
      <c r="AU18" s="2" t="n"/>
      <c r="AV18" s="2" t="n"/>
      <c r="AW18" s="2" t="n"/>
      <c r="AX18" s="2" t="n"/>
      <c r="AY18" s="2" t="n"/>
      <c r="AZ18" s="2" t="n"/>
      <c r="BA18" s="2" t="n"/>
      <c r="BB18" s="2" t="n"/>
      <c r="BC18" s="2" t="n"/>
      <c r="BD18" s="2" t="n"/>
      <c r="BE18" s="2" t="n"/>
      <c r="BF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c r="AH19" s="2" t="n"/>
      <c r="AI19" s="2" t="n"/>
      <c r="AJ19" s="2" t="n"/>
      <c r="AK19" s="2" t="n"/>
      <c r="AL19" s="2" t="n"/>
      <c r="AM19" s="2" t="n"/>
      <c r="AN19" s="2" t="n"/>
      <c r="AO19" s="2" t="n"/>
      <c r="AP19" s="2" t="n"/>
      <c r="AQ19" s="2" t="n"/>
      <c r="AR19" s="2" t="n"/>
      <c r="AS19" s="2" t="n"/>
      <c r="AT19" s="2" t="n"/>
      <c r="AU19" s="2" t="n"/>
      <c r="AV19" s="2" t="n"/>
      <c r="AW19" s="2" t="n"/>
      <c r="AX19" s="2" t="n"/>
      <c r="AY19" s="2" t="n"/>
      <c r="AZ19" s="2" t="n"/>
      <c r="BA19" s="2" t="n"/>
      <c r="BB19" s="2" t="n"/>
      <c r="BC19" s="2" t="n"/>
      <c r="BD19" s="2" t="n"/>
      <c r="BE19" s="2" t="n"/>
      <c r="BF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c r="AG20" s="2" t="n"/>
      <c r="AH20" s="2" t="n"/>
      <c r="AI20" s="2" t="n"/>
      <c r="AJ20" s="2" t="n"/>
      <c r="AK20" s="2" t="n"/>
      <c r="AL20" s="2" t="n"/>
      <c r="AM20" s="2" t="n"/>
      <c r="AN20" s="2" t="n"/>
      <c r="AO20" s="2" t="n"/>
      <c r="AP20" s="2" t="n"/>
      <c r="AQ20" s="2" t="n"/>
      <c r="AR20" s="2" t="n"/>
      <c r="AS20" s="2" t="n"/>
      <c r="AT20" s="2" t="n"/>
      <c r="AU20" s="2" t="n"/>
      <c r="AV20" s="2" t="n"/>
      <c r="AW20" s="2" t="n"/>
      <c r="AX20" s="2" t="n"/>
      <c r="AY20" s="2" t="n"/>
      <c r="AZ20" s="2" t="n"/>
      <c r="BA20" s="2" t="n"/>
      <c r="BB20" s="2" t="n"/>
      <c r="BC20" s="2" t="n"/>
      <c r="BD20" s="2" t="n"/>
      <c r="BE20" s="2" t="n"/>
      <c r="BF20" s="2" t="n"/>
    </row>
  </sheetData>
  <mergeCells count="2">
    <mergeCell ref="A2:BE2"/>
    <mergeCell ref="A1:BE1"/>
  </mergeCells>
  <pageMargins left="0.75" right="0.75" top="1" bottom="1" header="0.5" footer="0.5"/>
</worksheet>
</file>

<file path=xl/worksheets/sheet6.xml><?xml version="1.0" encoding="utf-8"?>
<worksheet xmlns="http://schemas.openxmlformats.org/spreadsheetml/2006/main">
  <sheetPr>
    <tabColor rgb="00F59E0B"/>
    <outlinePr summaryBelow="1" summaryRight="1"/>
    <pageSetUpPr/>
  </sheetPr>
  <dimension ref="A1:Y80"/>
  <sheetViews>
    <sheetView showGridLines="0" workbookViewId="0">
      <selection activeCell="A1" sqref="A1"/>
    </sheetView>
  </sheetViews>
  <sheetFormatPr baseColWidth="8" defaultRowHeight="15"/>
  <cols>
    <col width="1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2" customWidth="1" min="9" max="9"/>
    <col width="10" customWidth="1" min="10" max="10"/>
    <col width="4" customWidth="1" min="11" max="11"/>
    <col width="18" customWidth="1" min="12" max="12"/>
    <col width="12" customWidth="1" min="13" max="13"/>
    <col width="12" customWidth="1" min="14" max="14"/>
    <col width="12" customWidth="1" min="15" max="15"/>
  </cols>
  <sheetData>
    <row r="1" ht="46" customHeight="1">
      <c r="A1" s="96" t="inlineStr">
        <is>
          <t xml:space="preserve">   📈  Analytics &amp; Insights</t>
        </is>
      </c>
      <c r="S1" s="2" t="n"/>
      <c r="T1" s="2" t="n"/>
    </row>
    <row r="2" ht="18" customHeight="1">
      <c r="A2" s="97" t="inlineStr">
        <is>
          <t>Track your weekly momentum, XP velocity, and category performance.</t>
        </is>
      </c>
      <c r="S2" s="2" t="n"/>
      <c r="T2" s="2" t="n"/>
    </row>
    <row r="3" ht="8" customHeight="1">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row>
    <row r="4" ht="26" customHeight="1">
      <c r="A4" s="22" t="inlineStr">
        <is>
          <t xml:space="preserve">   14-Day XP Trend</t>
        </is>
      </c>
      <c r="K4" s="2" t="n"/>
      <c r="L4" s="2" t="n"/>
      <c r="M4" s="2" t="n"/>
      <c r="N4" s="2" t="n"/>
      <c r="O4" s="2" t="n"/>
      <c r="P4" s="2" t="n"/>
      <c r="Q4" s="2" t="n"/>
      <c r="R4" s="2" t="n"/>
      <c r="S4" s="2" t="n"/>
      <c r="T4" s="2" t="n"/>
    </row>
    <row r="5" ht="22" customHeight="1">
      <c r="A5" s="56" t="inlineStr">
        <is>
          <t>Date</t>
        </is>
      </c>
      <c r="B5" s="56" t="inlineStr">
        <is>
          <t>XP Earned</t>
        </is>
      </c>
      <c r="C5" s="56" t="inlineStr">
        <is>
          <t>Done</t>
        </is>
      </c>
      <c r="D5" s="56" t="inlineStr">
        <is>
          <t>Rate</t>
        </is>
      </c>
      <c r="E5" s="56" t="inlineStr"/>
      <c r="F5" s="56" t="inlineStr"/>
      <c r="G5" s="56" t="inlineStr"/>
      <c r="H5" s="56" t="inlineStr"/>
      <c r="I5" s="56" t="inlineStr">
        <is>
          <t>7-Day XP Avg</t>
        </is>
      </c>
      <c r="J5" s="56" t="inlineStr"/>
      <c r="K5" s="2" t="n"/>
      <c r="L5" s="2" t="n"/>
      <c r="M5" s="2" t="n"/>
      <c r="N5" s="2" t="n"/>
      <c r="O5" s="2" t="n"/>
      <c r="P5" s="2" t="n"/>
      <c r="Q5" s="2" t="n"/>
      <c r="R5" s="2" t="n"/>
      <c r="S5" s="2" t="n"/>
      <c r="T5" s="2" t="n"/>
    </row>
    <row r="6" ht="20" customHeight="1">
      <c r="A6" s="61" t="inlineStr">
        <is>
          <t>10 Mar</t>
        </is>
      </c>
      <c r="B6" s="142" t="n">
        <v>65</v>
      </c>
      <c r="C6" s="126" t="n">
        <v>9</v>
      </c>
      <c r="D6" s="143">
        <f>IFERROR(C6/12,0)</f>
        <v/>
      </c>
      <c r="E6" s="2" t="n"/>
      <c r="F6" s="2" t="n"/>
      <c r="G6" s="2" t="n"/>
      <c r="H6" s="2" t="n"/>
      <c r="I6" s="144">
        <f>AVERAGE(B6:B6)</f>
        <v/>
      </c>
      <c r="J6" s="2" t="n"/>
      <c r="K6" s="2" t="n"/>
      <c r="L6" s="2" t="n"/>
      <c r="M6" s="2" t="n"/>
      <c r="N6" s="2" t="n"/>
      <c r="O6" s="2" t="n"/>
      <c r="P6" s="2" t="n"/>
      <c r="Q6" s="2" t="n"/>
      <c r="R6" s="2" t="n"/>
      <c r="S6" s="2" t="n"/>
      <c r="T6" s="2" t="n"/>
    </row>
    <row r="7" ht="20" customHeight="1">
      <c r="A7" s="57" t="inlineStr">
        <is>
          <t>11 Mar</t>
        </is>
      </c>
      <c r="B7" s="142" t="n">
        <v>150</v>
      </c>
      <c r="C7" s="129" t="n">
        <v>7</v>
      </c>
      <c r="D7" s="145">
        <f>IFERROR(C7/12,0)</f>
        <v/>
      </c>
      <c r="E7" s="2" t="n"/>
      <c r="F7" s="2" t="n"/>
      <c r="G7" s="2" t="n"/>
      <c r="H7" s="2" t="n"/>
      <c r="I7" s="146">
        <f>AVERAGE(B6:B7)</f>
        <v/>
      </c>
      <c r="J7" s="2" t="n"/>
      <c r="K7" s="2" t="n"/>
      <c r="L7" s="2" t="n"/>
      <c r="M7" s="2" t="n"/>
      <c r="N7" s="2" t="n"/>
      <c r="O7" s="2" t="n"/>
      <c r="P7" s="2" t="n"/>
      <c r="Q7" s="2" t="n"/>
      <c r="R7" s="2" t="n"/>
      <c r="S7" s="2" t="n"/>
      <c r="T7" s="2" t="n"/>
    </row>
    <row r="8" ht="20" customHeight="1">
      <c r="A8" s="61" t="inlineStr">
        <is>
          <t>12 Mar</t>
        </is>
      </c>
      <c r="B8" s="142" t="n">
        <v>216</v>
      </c>
      <c r="C8" s="126" t="n">
        <v>6</v>
      </c>
      <c r="D8" s="143">
        <f>IFERROR(C8/12,0)</f>
        <v/>
      </c>
      <c r="E8" s="2" t="n"/>
      <c r="F8" s="2" t="n"/>
      <c r="G8" s="2" t="n"/>
      <c r="H8" s="2" t="n"/>
      <c r="I8" s="144">
        <f>AVERAGE(B6:B8)</f>
        <v/>
      </c>
      <c r="J8" s="2" t="n"/>
      <c r="K8" s="2" t="n"/>
      <c r="L8" s="2" t="n"/>
      <c r="M8" s="2" t="n"/>
      <c r="N8" s="2" t="n"/>
      <c r="O8" s="2" t="n"/>
      <c r="P8" s="2" t="n"/>
      <c r="Q8" s="2" t="n"/>
      <c r="R8" s="2" t="n"/>
      <c r="S8" s="2" t="n"/>
      <c r="T8" s="2" t="n"/>
    </row>
    <row r="9" ht="20" customHeight="1">
      <c r="A9" s="57" t="inlineStr">
        <is>
          <t>13 Mar</t>
        </is>
      </c>
      <c r="B9" s="142" t="n">
        <v>186</v>
      </c>
      <c r="C9" s="129" t="n">
        <v>6</v>
      </c>
      <c r="D9" s="145">
        <f>IFERROR(C9/12,0)</f>
        <v/>
      </c>
      <c r="E9" s="2" t="n"/>
      <c r="F9" s="2" t="n"/>
      <c r="G9" s="2" t="n"/>
      <c r="H9" s="2" t="n"/>
      <c r="I9" s="146">
        <f>AVERAGE(B6:B9)</f>
        <v/>
      </c>
      <c r="J9" s="2" t="n"/>
      <c r="K9" s="2" t="n"/>
      <c r="L9" s="2" t="n"/>
      <c r="M9" s="2" t="n"/>
      <c r="N9" s="2" t="n"/>
      <c r="O9" s="2" t="n"/>
      <c r="P9" s="2" t="n"/>
      <c r="Q9" s="2" t="n"/>
      <c r="R9" s="2" t="n"/>
      <c r="S9" s="2" t="n"/>
      <c r="T9" s="2" t="n"/>
    </row>
    <row r="10" ht="20" customHeight="1">
      <c r="A10" s="61" t="inlineStr">
        <is>
          <t>14 Mar</t>
        </is>
      </c>
      <c r="B10" s="142" t="n">
        <v>115</v>
      </c>
      <c r="C10" s="126" t="n">
        <v>12</v>
      </c>
      <c r="D10" s="143">
        <f>IFERROR(C10/12,0)</f>
        <v/>
      </c>
      <c r="E10" s="2" t="n"/>
      <c r="F10" s="2" t="n"/>
      <c r="G10" s="2" t="n"/>
      <c r="H10" s="2" t="n"/>
      <c r="I10" s="144">
        <f>AVERAGE(B6:B10)</f>
        <v/>
      </c>
      <c r="J10" s="2" t="n"/>
      <c r="K10" s="2" t="n"/>
      <c r="L10" s="2" t="n"/>
      <c r="M10" s="2" t="n"/>
      <c r="N10" s="2" t="n"/>
      <c r="O10" s="2" t="n"/>
      <c r="P10" s="2" t="n"/>
      <c r="Q10" s="2" t="n"/>
      <c r="R10" s="2" t="n"/>
      <c r="S10" s="2" t="n"/>
      <c r="T10" s="2" t="n"/>
    </row>
    <row r="11" ht="20" customHeight="1">
      <c r="A11" s="57" t="inlineStr">
        <is>
          <t>15 Mar</t>
        </is>
      </c>
      <c r="B11" s="142" t="n">
        <v>133</v>
      </c>
      <c r="C11" s="129" t="n">
        <v>7</v>
      </c>
      <c r="D11" s="145">
        <f>IFERROR(C11/12,0)</f>
        <v/>
      </c>
      <c r="E11" s="2" t="n"/>
      <c r="F11" s="2" t="n"/>
      <c r="G11" s="2" t="n"/>
      <c r="H11" s="2" t="n"/>
      <c r="I11" s="146">
        <f>AVERAGE(B6:B11)</f>
        <v/>
      </c>
      <c r="J11" s="2" t="n"/>
      <c r="K11" s="2" t="n"/>
      <c r="L11" s="2" t="n"/>
      <c r="M11" s="2" t="n"/>
      <c r="N11" s="2" t="n"/>
      <c r="O11" s="2" t="n"/>
      <c r="P11" s="2" t="n"/>
      <c r="Q11" s="2" t="n"/>
      <c r="R11" s="2" t="n"/>
      <c r="S11" s="2" t="n"/>
      <c r="T11" s="2" t="n"/>
    </row>
    <row r="12" ht="20" customHeight="1">
      <c r="A12" s="61" t="inlineStr">
        <is>
          <t>16 Mar</t>
        </is>
      </c>
      <c r="B12" s="142" t="n">
        <v>123</v>
      </c>
      <c r="C12" s="126" t="n">
        <v>9</v>
      </c>
      <c r="D12" s="143">
        <f>IFERROR(C12/12,0)</f>
        <v/>
      </c>
      <c r="E12" s="2" t="n"/>
      <c r="F12" s="2" t="n"/>
      <c r="G12" s="2" t="n"/>
      <c r="H12" s="2" t="n"/>
      <c r="I12" s="144">
        <f>AVERAGE(B6:B12)</f>
        <v/>
      </c>
      <c r="J12" s="2" t="n"/>
      <c r="K12" s="2" t="n"/>
      <c r="L12" s="2" t="n"/>
      <c r="M12" s="2" t="n"/>
      <c r="N12" s="2" t="n"/>
      <c r="O12" s="2" t="n"/>
      <c r="P12" s="2" t="n"/>
      <c r="Q12" s="2" t="n"/>
      <c r="R12" s="2" t="n"/>
      <c r="S12" s="2" t="n"/>
      <c r="T12" s="2" t="n"/>
    </row>
    <row r="13" ht="20" customHeight="1">
      <c r="A13" s="57" t="inlineStr">
        <is>
          <t>17 Mar</t>
        </is>
      </c>
      <c r="B13" s="142" t="n">
        <v>160</v>
      </c>
      <c r="C13" s="129" t="n">
        <v>12</v>
      </c>
      <c r="D13" s="145">
        <f>IFERROR(C13/12,0)</f>
        <v/>
      </c>
      <c r="E13" s="2" t="n"/>
      <c r="F13" s="2" t="n"/>
      <c r="G13" s="2" t="n"/>
      <c r="H13" s="2" t="n"/>
      <c r="I13" s="146">
        <f>AVERAGE(B7:B13)</f>
        <v/>
      </c>
      <c r="J13" s="2" t="n"/>
      <c r="K13" s="2" t="n"/>
      <c r="L13" s="2" t="n"/>
      <c r="M13" s="2" t="n"/>
      <c r="N13" s="2" t="n"/>
      <c r="O13" s="2" t="n"/>
      <c r="P13" s="2" t="n"/>
      <c r="Q13" s="2" t="n"/>
      <c r="R13" s="2" t="n"/>
      <c r="S13" s="2" t="n"/>
      <c r="T13" s="2" t="n"/>
    </row>
    <row r="14" ht="20" customHeight="1">
      <c r="A14" s="61" t="inlineStr">
        <is>
          <t>18 Mar</t>
        </is>
      </c>
      <c r="B14" s="142" t="n">
        <v>187</v>
      </c>
      <c r="C14" s="126" t="n">
        <v>6</v>
      </c>
      <c r="D14" s="143">
        <f>IFERROR(C14/12,0)</f>
        <v/>
      </c>
      <c r="E14" s="2" t="n"/>
      <c r="F14" s="2" t="n"/>
      <c r="G14" s="2" t="n"/>
      <c r="H14" s="2" t="n"/>
      <c r="I14" s="144">
        <f>AVERAGE(B8:B14)</f>
        <v/>
      </c>
      <c r="J14" s="2" t="n"/>
      <c r="K14" s="2" t="n"/>
      <c r="L14" s="2" t="n"/>
      <c r="M14" s="2" t="n"/>
      <c r="N14" s="2" t="n"/>
      <c r="O14" s="2" t="n"/>
      <c r="P14" s="2" t="n"/>
      <c r="Q14" s="2" t="n"/>
      <c r="R14" s="2" t="n"/>
      <c r="S14" s="2" t="n"/>
      <c r="T14" s="2" t="n"/>
    </row>
    <row r="15" ht="20" customHeight="1">
      <c r="A15" s="57" t="inlineStr">
        <is>
          <t>19 Mar</t>
        </is>
      </c>
      <c r="B15" s="142" t="n">
        <v>102</v>
      </c>
      <c r="C15" s="129" t="n">
        <v>9</v>
      </c>
      <c r="D15" s="145">
        <f>IFERROR(C15/12,0)</f>
        <v/>
      </c>
      <c r="E15" s="2" t="n"/>
      <c r="F15" s="2" t="n"/>
      <c r="G15" s="2" t="n"/>
      <c r="H15" s="2" t="n"/>
      <c r="I15" s="146">
        <f>AVERAGE(B9:B15)</f>
        <v/>
      </c>
      <c r="J15" s="2" t="n"/>
      <c r="K15" s="2" t="n"/>
      <c r="L15" s="2" t="n"/>
      <c r="M15" s="2" t="n"/>
      <c r="N15" s="2" t="n"/>
      <c r="O15" s="2" t="n"/>
      <c r="P15" s="2" t="n"/>
      <c r="Q15" s="2" t="n"/>
      <c r="R15" s="2" t="n"/>
      <c r="S15" s="2" t="n"/>
      <c r="T15" s="2" t="n"/>
    </row>
    <row r="16" ht="20" customHeight="1">
      <c r="A16" s="61" t="inlineStr">
        <is>
          <t>20 Mar</t>
        </is>
      </c>
      <c r="B16" s="142" t="n">
        <v>162</v>
      </c>
      <c r="C16" s="126" t="n">
        <v>10</v>
      </c>
      <c r="D16" s="143">
        <f>IFERROR(C16/12,0)</f>
        <v/>
      </c>
      <c r="E16" s="2" t="n"/>
      <c r="F16" s="2" t="n"/>
      <c r="G16" s="2" t="n"/>
      <c r="H16" s="2" t="n"/>
      <c r="I16" s="144">
        <f>AVERAGE(B10:B16)</f>
        <v/>
      </c>
      <c r="J16" s="2" t="n"/>
      <c r="K16" s="2" t="n"/>
      <c r="L16" s="2" t="n"/>
      <c r="M16" s="2" t="n"/>
      <c r="N16" s="2" t="n"/>
      <c r="O16" s="2" t="n"/>
      <c r="P16" s="2" t="n"/>
      <c r="Q16" s="2" t="n"/>
      <c r="R16" s="2" t="n"/>
      <c r="S16" s="2" t="n"/>
      <c r="T16" s="2" t="n"/>
    </row>
    <row r="17" ht="20" customHeight="1">
      <c r="A17" s="57" t="inlineStr">
        <is>
          <t>21 Mar</t>
        </is>
      </c>
      <c r="B17" s="142" t="n">
        <v>131</v>
      </c>
      <c r="C17" s="129" t="n">
        <v>7</v>
      </c>
      <c r="D17" s="145">
        <f>IFERROR(C17/12,0)</f>
        <v/>
      </c>
      <c r="E17" s="2" t="n"/>
      <c r="F17" s="2" t="n"/>
      <c r="G17" s="2" t="n"/>
      <c r="H17" s="2" t="n"/>
      <c r="I17" s="146">
        <f>AVERAGE(B11:B17)</f>
        <v/>
      </c>
      <c r="J17" s="2" t="n"/>
      <c r="K17" s="2" t="n"/>
      <c r="L17" s="2" t="n"/>
      <c r="M17" s="2" t="n"/>
      <c r="N17" s="2" t="n"/>
      <c r="O17" s="2" t="n"/>
      <c r="P17" s="2" t="n"/>
      <c r="Q17" s="2" t="n"/>
      <c r="R17" s="2" t="n"/>
      <c r="S17" s="2" t="n"/>
      <c r="T17" s="2" t="n"/>
    </row>
    <row r="18" ht="20" customHeight="1">
      <c r="A18" s="61" t="inlineStr">
        <is>
          <t>22 Mar</t>
        </is>
      </c>
      <c r="B18" s="142" t="n">
        <v>170</v>
      </c>
      <c r="C18" s="126" t="n">
        <v>12</v>
      </c>
      <c r="D18" s="143">
        <f>IFERROR(C18/12,0)</f>
        <v/>
      </c>
      <c r="E18" s="2" t="n"/>
      <c r="F18" s="2" t="n"/>
      <c r="G18" s="2" t="n"/>
      <c r="H18" s="2" t="n"/>
      <c r="I18" s="144">
        <f>AVERAGE(B12:B18)</f>
        <v/>
      </c>
      <c r="J18" s="2" t="n"/>
      <c r="K18" s="2" t="n"/>
      <c r="L18" s="2" t="n"/>
      <c r="M18" s="2" t="n"/>
      <c r="N18" s="2" t="n"/>
      <c r="O18" s="2" t="n"/>
      <c r="P18" s="2" t="n"/>
      <c r="Q18" s="2" t="n"/>
      <c r="R18" s="2" t="n"/>
      <c r="S18" s="2" t="n"/>
      <c r="T18" s="2" t="n"/>
    </row>
    <row r="19" ht="20" customHeight="1">
      <c r="A19" s="57" t="inlineStr">
        <is>
          <t>23 Mar</t>
        </is>
      </c>
      <c r="B19" s="59" t="n">
        <v>0</v>
      </c>
      <c r="C19" s="129" t="n">
        <v>0</v>
      </c>
      <c r="D19" s="145">
        <f>IFERROR(C19/12,0)</f>
        <v/>
      </c>
      <c r="E19" s="2" t="n"/>
      <c r="F19" s="2" t="n"/>
      <c r="G19" s="2" t="n"/>
      <c r="H19" s="2" t="n"/>
      <c r="I19" s="146">
        <f>AVERAGE(B13:B19)</f>
        <v/>
      </c>
      <c r="J19" s="2" t="n"/>
      <c r="K19" s="2" t="n"/>
      <c r="L19" s="2" t="n"/>
      <c r="M19" s="2" t="n"/>
      <c r="N19" s="2" t="n"/>
      <c r="O19" s="2" t="n"/>
      <c r="P19" s="2" t="n"/>
      <c r="Q19" s="2" t="n"/>
      <c r="R19" s="2" t="n"/>
      <c r="S19" s="2" t="n"/>
      <c r="T19" s="2" t="n"/>
    </row>
    <row r="20" ht="10" customHeight="1">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row>
    <row r="21" ht="26" customHeight="1">
      <c r="A21" s="28" t="inlineStr">
        <is>
          <t xml:space="preserve">   Weekly XP Summary (Last 8 Weeks)</t>
        </is>
      </c>
      <c r="K21" s="2" t="n"/>
      <c r="L21" s="2" t="n"/>
      <c r="M21" s="2" t="n"/>
      <c r="N21" s="2" t="n"/>
      <c r="O21" s="2" t="n"/>
      <c r="P21" s="2" t="n"/>
      <c r="Q21" s="2" t="n"/>
      <c r="R21" s="2" t="n"/>
      <c r="S21" s="2" t="n"/>
      <c r="T21" s="2" t="n"/>
    </row>
    <row r="22" ht="22" customHeight="1">
      <c r="A22" s="29" t="inlineStr">
        <is>
          <t>Week</t>
        </is>
      </c>
      <c r="B22" s="29" t="inlineStr">
        <is>
          <t>Mon</t>
        </is>
      </c>
      <c r="C22" s="29" t="inlineStr">
        <is>
          <t>Tue</t>
        </is>
      </c>
      <c r="D22" s="29" t="inlineStr">
        <is>
          <t>Wed</t>
        </is>
      </c>
      <c r="E22" s="29" t="inlineStr">
        <is>
          <t>Thu</t>
        </is>
      </c>
      <c r="F22" s="29" t="inlineStr">
        <is>
          <t>Fri</t>
        </is>
      </c>
      <c r="G22" s="29" t="inlineStr">
        <is>
          <t>Sat</t>
        </is>
      </c>
      <c r="H22" s="29" t="inlineStr">
        <is>
          <t>Sun</t>
        </is>
      </c>
      <c r="I22" s="29" t="inlineStr">
        <is>
          <t>Total XP</t>
        </is>
      </c>
      <c r="J22" s="29" t="inlineStr">
        <is>
          <t>Rate</t>
        </is>
      </c>
      <c r="K22" s="2" t="n"/>
      <c r="L22" s="2" t="n"/>
      <c r="M22" s="2" t="n"/>
      <c r="N22" s="2" t="n"/>
      <c r="O22" s="2" t="n"/>
      <c r="P22" s="2" t="n"/>
      <c r="Q22" s="2" t="n"/>
      <c r="R22" s="2" t="n"/>
      <c r="S22" s="2" t="n"/>
      <c r="T22" s="2" t="n"/>
    </row>
    <row r="23" ht="20" customHeight="1">
      <c r="A23" s="147" t="inlineStr">
        <is>
          <t>Wk 23 Mar</t>
        </is>
      </c>
      <c r="B23" s="120" t="n">
        <v>220</v>
      </c>
      <c r="C23" s="120" t="n">
        <v>151</v>
      </c>
      <c r="D23" s="120" t="n">
        <v>186</v>
      </c>
      <c r="E23" s="120" t="n">
        <v>171</v>
      </c>
      <c r="F23" s="120" t="n">
        <v>177</v>
      </c>
      <c r="G23" s="120" t="n">
        <v>139</v>
      </c>
      <c r="H23" s="120" t="n">
        <v>118</v>
      </c>
      <c r="I23" s="32">
        <f>SUM(B23:H23)</f>
        <v/>
      </c>
      <c r="J23" s="143">
        <f>IFERROR(I23/(7*220),0)</f>
        <v/>
      </c>
      <c r="K23" s="2" t="n"/>
      <c r="L23" s="2" t="n"/>
      <c r="M23" s="2" t="n"/>
      <c r="N23" s="2" t="n"/>
      <c r="O23" s="2" t="n"/>
      <c r="P23" s="2" t="n"/>
      <c r="Q23" s="2" t="n"/>
      <c r="R23" s="2" t="n"/>
      <c r="S23" s="2" t="n"/>
      <c r="T23" s="2" t="n"/>
    </row>
    <row r="24" ht="20" customHeight="1">
      <c r="A24" s="148" t="inlineStr">
        <is>
          <t>Wk 16 Mar</t>
        </is>
      </c>
      <c r="B24" s="122" t="n">
        <v>101</v>
      </c>
      <c r="C24" s="122" t="n">
        <v>125</v>
      </c>
      <c r="D24" s="122" t="n">
        <v>118</v>
      </c>
      <c r="E24" s="122" t="n">
        <v>139</v>
      </c>
      <c r="F24" s="122" t="n">
        <v>139</v>
      </c>
      <c r="G24" s="122" t="n">
        <v>83</v>
      </c>
      <c r="H24" s="122" t="n">
        <v>204</v>
      </c>
      <c r="I24" s="32">
        <f>SUM(B24:H24)</f>
        <v/>
      </c>
      <c r="J24" s="145">
        <f>IFERROR(I24/(7*220),0)</f>
        <v/>
      </c>
      <c r="K24" s="2" t="n"/>
      <c r="L24" s="2" t="n"/>
      <c r="M24" s="2" t="n"/>
      <c r="N24" s="2" t="n"/>
      <c r="O24" s="2" t="n"/>
      <c r="P24" s="2" t="n"/>
      <c r="Q24" s="2" t="n"/>
      <c r="R24" s="2" t="n"/>
      <c r="S24" s="2" t="n"/>
      <c r="T24" s="2" t="n"/>
    </row>
    <row r="25" ht="20" customHeight="1">
      <c r="A25" s="147" t="inlineStr">
        <is>
          <t>Wk 09 Mar</t>
        </is>
      </c>
      <c r="B25" s="120" t="n">
        <v>126</v>
      </c>
      <c r="C25" s="120" t="n">
        <v>147</v>
      </c>
      <c r="D25" s="120" t="n">
        <v>152</v>
      </c>
      <c r="E25" s="120" t="n">
        <v>81</v>
      </c>
      <c r="F25" s="120" t="n">
        <v>117</v>
      </c>
      <c r="G25" s="120" t="n">
        <v>187</v>
      </c>
      <c r="H25" s="120" t="n">
        <v>216</v>
      </c>
      <c r="I25" s="32">
        <f>SUM(B25:H25)</f>
        <v/>
      </c>
      <c r="J25" s="143">
        <f>IFERROR(I25/(7*220),0)</f>
        <v/>
      </c>
      <c r="K25" s="2" t="n"/>
      <c r="L25" s="2" t="n"/>
      <c r="M25" s="2" t="n"/>
      <c r="N25" s="2" t="n"/>
      <c r="O25" s="2" t="n"/>
      <c r="P25" s="2" t="n"/>
      <c r="Q25" s="2" t="n"/>
      <c r="R25" s="2" t="n"/>
      <c r="S25" s="2" t="n"/>
      <c r="T25" s="2" t="n"/>
    </row>
    <row r="26" ht="20" customHeight="1">
      <c r="A26" s="148" t="inlineStr">
        <is>
          <t>Wk 02 Mar</t>
        </is>
      </c>
      <c r="B26" s="122" t="n">
        <v>174</v>
      </c>
      <c r="C26" s="122" t="n">
        <v>161</v>
      </c>
      <c r="D26" s="122" t="n">
        <v>112</v>
      </c>
      <c r="E26" s="122" t="n">
        <v>211</v>
      </c>
      <c r="F26" s="122" t="n">
        <v>93</v>
      </c>
      <c r="G26" s="122" t="n">
        <v>196</v>
      </c>
      <c r="H26" s="122" t="n">
        <v>180</v>
      </c>
      <c r="I26" s="32">
        <f>SUM(B26:H26)</f>
        <v/>
      </c>
      <c r="J26" s="145">
        <f>IFERROR(I26/(7*220),0)</f>
        <v/>
      </c>
      <c r="K26" s="2" t="n"/>
      <c r="L26" s="2" t="n"/>
      <c r="M26" s="2" t="n"/>
      <c r="N26" s="2" t="n"/>
      <c r="O26" s="2" t="n"/>
      <c r="P26" s="2" t="n"/>
      <c r="Q26" s="2" t="n"/>
      <c r="R26" s="2" t="n"/>
      <c r="S26" s="2" t="n"/>
      <c r="T26" s="2" t="n"/>
    </row>
    <row r="27" ht="20" customHeight="1">
      <c r="A27" s="147" t="inlineStr">
        <is>
          <t>Wk 23 Feb</t>
        </is>
      </c>
      <c r="B27" s="120" t="n">
        <v>181</v>
      </c>
      <c r="C27" s="120" t="n">
        <v>182</v>
      </c>
      <c r="D27" s="120" t="n">
        <v>180</v>
      </c>
      <c r="E27" s="120" t="n">
        <v>106</v>
      </c>
      <c r="F27" s="120" t="n">
        <v>203</v>
      </c>
      <c r="G27" s="120" t="n">
        <v>182</v>
      </c>
      <c r="H27" s="120" t="n">
        <v>95</v>
      </c>
      <c r="I27" s="32">
        <f>SUM(B27:H27)</f>
        <v/>
      </c>
      <c r="J27" s="143">
        <f>IFERROR(I27/(7*220),0)</f>
        <v/>
      </c>
      <c r="K27" s="2" t="n"/>
      <c r="L27" s="2" t="n"/>
      <c r="M27" s="2" t="n"/>
      <c r="N27" s="2" t="n"/>
      <c r="O27" s="2" t="n"/>
      <c r="P27" s="2" t="n"/>
      <c r="Q27" s="2" t="n"/>
      <c r="R27" s="2" t="n"/>
      <c r="S27" s="2" t="n"/>
      <c r="T27" s="2" t="n"/>
    </row>
    <row r="28" ht="20" customHeight="1">
      <c r="A28" s="148" t="inlineStr">
        <is>
          <t>Wk 16 Feb</t>
        </is>
      </c>
      <c r="B28" s="122" t="n">
        <v>128</v>
      </c>
      <c r="C28" s="122" t="n">
        <v>97</v>
      </c>
      <c r="D28" s="122" t="n">
        <v>133</v>
      </c>
      <c r="E28" s="122" t="n">
        <v>192</v>
      </c>
      <c r="F28" s="122" t="n">
        <v>121</v>
      </c>
      <c r="G28" s="122" t="n">
        <v>108</v>
      </c>
      <c r="H28" s="122" t="n">
        <v>167</v>
      </c>
      <c r="I28" s="32">
        <f>SUM(B28:H28)</f>
        <v/>
      </c>
      <c r="J28" s="145">
        <f>IFERROR(I28/(7*220),0)</f>
        <v/>
      </c>
      <c r="K28" s="2" t="n"/>
      <c r="L28" s="2" t="n"/>
      <c r="M28" s="2" t="n"/>
      <c r="N28" s="2" t="n"/>
      <c r="O28" s="2" t="n"/>
      <c r="P28" s="2" t="n"/>
      <c r="Q28" s="2" t="n"/>
      <c r="R28" s="2" t="n"/>
      <c r="S28" s="2" t="n"/>
      <c r="T28" s="2" t="n"/>
    </row>
    <row r="29" ht="20" customHeight="1">
      <c r="A29" s="147" t="inlineStr">
        <is>
          <t>Wk 09 Feb</t>
        </is>
      </c>
      <c r="B29" s="120" t="n">
        <v>93</v>
      </c>
      <c r="C29" s="120" t="n">
        <v>106</v>
      </c>
      <c r="D29" s="120" t="n">
        <v>80</v>
      </c>
      <c r="E29" s="120" t="n">
        <v>118</v>
      </c>
      <c r="F29" s="120" t="n">
        <v>217</v>
      </c>
      <c r="G29" s="120" t="n">
        <v>105</v>
      </c>
      <c r="H29" s="120" t="n">
        <v>173</v>
      </c>
      <c r="I29" s="32">
        <f>SUM(B29:H29)</f>
        <v/>
      </c>
      <c r="J29" s="143">
        <f>IFERROR(I29/(7*220),0)</f>
        <v/>
      </c>
      <c r="K29" s="2" t="n"/>
      <c r="L29" s="2" t="n"/>
      <c r="M29" s="2" t="n"/>
      <c r="N29" s="2" t="n"/>
      <c r="O29" s="2" t="n"/>
      <c r="P29" s="2" t="n"/>
      <c r="Q29" s="2" t="n"/>
      <c r="R29" s="2" t="n"/>
      <c r="S29" s="2" t="n"/>
      <c r="T29" s="2" t="n"/>
    </row>
    <row r="30" ht="20" customHeight="1">
      <c r="A30" s="148" t="inlineStr">
        <is>
          <t>Wk 02 Feb</t>
        </is>
      </c>
      <c r="B30" s="122" t="n">
        <v>86</v>
      </c>
      <c r="C30" s="122" t="n">
        <v>98</v>
      </c>
      <c r="D30" s="122" t="n">
        <v>133</v>
      </c>
      <c r="E30" s="122" t="n">
        <v>176</v>
      </c>
      <c r="F30" s="122" t="n">
        <v>118</v>
      </c>
      <c r="G30" s="122" t="n">
        <v>144</v>
      </c>
      <c r="H30" s="122" t="n">
        <v>168</v>
      </c>
      <c r="I30" s="32">
        <f>SUM(B30:H30)</f>
        <v/>
      </c>
      <c r="J30" s="145">
        <f>IFERROR(I30/(7*220),0)</f>
        <v/>
      </c>
      <c r="K30" s="2" t="n"/>
      <c r="L30" s="2" t="n"/>
      <c r="M30" s="2" t="n"/>
      <c r="N30" s="2" t="n"/>
      <c r="O30" s="2" t="n"/>
      <c r="P30" s="2" t="n"/>
      <c r="Q30" s="2" t="n"/>
      <c r="R30" s="2" t="n"/>
      <c r="S30" s="2" t="n"/>
      <c r="T30" s="2" t="n"/>
    </row>
    <row r="31" ht="22" customHeight="1">
      <c r="A31" s="149" t="inlineStr">
        <is>
          <t>AVERAGE</t>
        </is>
      </c>
      <c r="B31" s="150">
        <f>AVERAGE(B23:B30)</f>
        <v/>
      </c>
      <c r="C31" s="150">
        <f>AVERAGE(C23:C30)</f>
        <v/>
      </c>
      <c r="D31" s="150">
        <f>AVERAGE(D23:D30)</f>
        <v/>
      </c>
      <c r="E31" s="150">
        <f>AVERAGE(E23:E30)</f>
        <v/>
      </c>
      <c r="F31" s="150">
        <f>AVERAGE(F23:F30)</f>
        <v/>
      </c>
      <c r="G31" s="150">
        <f>AVERAGE(G23:G30)</f>
        <v/>
      </c>
      <c r="H31" s="150">
        <f>AVERAGE(H23:H30)</f>
        <v/>
      </c>
      <c r="I31" s="150">
        <f>AVERAGE(I23:I30)</f>
        <v/>
      </c>
      <c r="J31" s="151">
        <f>AVERAGE(J23:J30)</f>
        <v/>
      </c>
      <c r="K31" s="2" t="n"/>
      <c r="L31" s="2" t="n"/>
      <c r="M31" s="2" t="n"/>
      <c r="N31" s="2" t="n"/>
      <c r="O31" s="2" t="n"/>
      <c r="P31" s="2" t="n"/>
      <c r="Q31" s="2" t="n"/>
      <c r="R31" s="2" t="n"/>
      <c r="S31" s="2" t="n"/>
      <c r="T31" s="2" t="n"/>
    </row>
    <row r="32" ht="10" customHeight="1">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row>
    <row r="33" ht="26" customHeight="1">
      <c r="A33" s="2" t="n"/>
      <c r="B33" s="2" t="n"/>
      <c r="C33" s="2" t="n"/>
      <c r="D33" s="2" t="n"/>
      <c r="E33" s="2" t="n"/>
      <c r="F33" s="2" t="n"/>
      <c r="G33" s="2" t="n"/>
      <c r="H33" s="2" t="n"/>
      <c r="I33" s="2" t="n"/>
      <c r="J33" s="2" t="n"/>
      <c r="K33" s="2" t="n"/>
      <c r="L33" s="118" t="inlineStr">
        <is>
          <t xml:space="preserve">   By Category</t>
        </is>
      </c>
      <c r="Q33" s="2" t="n"/>
      <c r="R33" s="2" t="n"/>
      <c r="S33" s="2" t="n"/>
      <c r="T33" s="2" t="n"/>
    </row>
    <row r="34" ht="22" customHeight="1">
      <c r="A34" s="2" t="n"/>
      <c r="B34" s="2" t="n"/>
      <c r="C34" s="2" t="n"/>
      <c r="D34" s="2" t="n"/>
      <c r="E34" s="2" t="n"/>
      <c r="F34" s="2" t="n"/>
      <c r="G34" s="2" t="n"/>
      <c r="H34" s="2" t="n"/>
      <c r="I34" s="2" t="n"/>
      <c r="J34" s="2" t="n"/>
      <c r="K34" s="2" t="n"/>
      <c r="L34" s="119" t="inlineStr">
        <is>
          <t>Category</t>
        </is>
      </c>
      <c r="M34" s="119" t="inlineStr">
        <is>
          <t># Habits</t>
        </is>
      </c>
      <c r="N34" s="119" t="inlineStr">
        <is>
          <t>XP Earned</t>
        </is>
      </c>
      <c r="O34" s="119" t="inlineStr">
        <is>
          <t>% of Total</t>
        </is>
      </c>
      <c r="P34" s="2" t="n"/>
      <c r="Q34" s="2" t="n"/>
      <c r="R34" s="2" t="n"/>
      <c r="S34" s="2" t="n"/>
      <c r="T34" s="2" t="n"/>
    </row>
    <row r="35" ht="20" customHeight="1">
      <c r="A35" s="2" t="n"/>
      <c r="B35" s="2" t="n"/>
      <c r="C35" s="2" t="n"/>
      <c r="D35" s="2" t="n"/>
      <c r="E35" s="2" t="n"/>
      <c r="F35" s="2" t="n"/>
      <c r="G35" s="2" t="n"/>
      <c r="H35" s="2" t="n"/>
      <c r="I35" s="2" t="n"/>
      <c r="J35" s="2" t="n"/>
      <c r="K35" s="2" t="n"/>
      <c r="L35" s="36" t="inlineStr">
        <is>
          <t>Fitness</t>
        </is>
      </c>
      <c r="M35" s="122">
        <f>COUNTIFS('Habits Setup'!C5:C104,L35,'Habits Setup'!H5:H104,"Yes")</f>
        <v/>
      </c>
      <c r="N35" s="32" t="n">
        <v>716</v>
      </c>
      <c r="O35" s="145">
        <f>IFERROR(N35/SUM(N35:N41),0)</f>
        <v/>
      </c>
      <c r="P35" s="2" t="n"/>
      <c r="Q35" s="2" t="n"/>
      <c r="R35" s="2" t="n"/>
      <c r="S35" s="2" t="n"/>
      <c r="T35" s="2" t="n"/>
    </row>
    <row r="36" ht="20" customHeight="1">
      <c r="A36" s="2" t="n"/>
      <c r="B36" s="2" t="n"/>
      <c r="C36" s="2" t="n"/>
      <c r="D36" s="2" t="n"/>
      <c r="E36" s="2" t="n"/>
      <c r="F36" s="2" t="n"/>
      <c r="G36" s="2" t="n"/>
      <c r="H36" s="2" t="n"/>
      <c r="I36" s="2" t="n"/>
      <c r="J36" s="2" t="n"/>
      <c r="K36" s="2" t="n"/>
      <c r="L36" s="30" t="inlineStr">
        <is>
          <t>Health</t>
        </is>
      </c>
      <c r="M36" s="120">
        <f>COUNTIFS('Habits Setup'!C5:C104,L36,'Habits Setup'!H5:H104,"Yes")</f>
        <v/>
      </c>
      <c r="N36" s="32" t="n">
        <v>472</v>
      </c>
      <c r="O36" s="143">
        <f>IFERROR(N36/SUM(N35:N41),0)</f>
        <v/>
      </c>
      <c r="P36" s="2" t="n"/>
      <c r="Q36" s="2" t="n"/>
      <c r="R36" s="2" t="n"/>
      <c r="S36" s="2" t="n"/>
      <c r="T36" s="2" t="n"/>
    </row>
    <row r="37" ht="20" customHeight="1">
      <c r="A37" s="2" t="n"/>
      <c r="B37" s="2" t="n"/>
      <c r="C37" s="2" t="n"/>
      <c r="D37" s="2" t="n"/>
      <c r="E37" s="2" t="n"/>
      <c r="F37" s="2" t="n"/>
      <c r="G37" s="2" t="n"/>
      <c r="H37" s="2" t="n"/>
      <c r="I37" s="2" t="n"/>
      <c r="J37" s="2" t="n"/>
      <c r="K37" s="2" t="n"/>
      <c r="L37" s="45" t="inlineStr">
        <is>
          <t>Mindset</t>
        </is>
      </c>
      <c r="M37" s="122">
        <f>COUNTIFS('Habits Setup'!C5:C104,L37,'Habits Setup'!H5:H104,"Yes")</f>
        <v/>
      </c>
      <c r="N37" s="32" t="n">
        <v>585</v>
      </c>
      <c r="O37" s="145">
        <f>IFERROR(N37/SUM(N35:N41),0)</f>
        <v/>
      </c>
      <c r="P37" s="2" t="n"/>
      <c r="Q37" s="2" t="n"/>
      <c r="R37" s="2" t="n"/>
      <c r="S37" s="2" t="n"/>
      <c r="T37" s="2" t="n"/>
    </row>
    <row r="38" ht="20" customHeight="1">
      <c r="A38" s="2" t="n"/>
      <c r="B38" s="2" t="n"/>
      <c r="C38" s="2" t="n"/>
      <c r="D38" s="2" t="n"/>
      <c r="E38" s="2" t="n"/>
      <c r="F38" s="2" t="n"/>
      <c r="G38" s="2" t="n"/>
      <c r="H38" s="2" t="n"/>
      <c r="I38" s="2" t="n"/>
      <c r="J38" s="2" t="n"/>
      <c r="K38" s="2" t="n"/>
      <c r="L38" s="152" t="inlineStr">
        <is>
          <t>Focus</t>
        </is>
      </c>
      <c r="M38" s="120">
        <f>COUNTIFS('Habits Setup'!C5:C104,L38,'Habits Setup'!H5:H104,"Yes")</f>
        <v/>
      </c>
      <c r="N38" s="32" t="n">
        <v>225</v>
      </c>
      <c r="O38" s="143">
        <f>IFERROR(N38/SUM(N35:N41),0)</f>
        <v/>
      </c>
      <c r="P38" s="2" t="n"/>
      <c r="Q38" s="2" t="n"/>
      <c r="R38" s="2" t="n"/>
      <c r="S38" s="2" t="n"/>
      <c r="T38" s="2" t="n"/>
    </row>
    <row r="39" ht="20" customHeight="1">
      <c r="A39" s="2" t="n"/>
      <c r="B39" s="2" t="n"/>
      <c r="C39" s="2" t="n"/>
      <c r="D39" s="2" t="n"/>
      <c r="E39" s="2" t="n"/>
      <c r="F39" s="2" t="n"/>
      <c r="G39" s="2" t="n"/>
      <c r="H39" s="2" t="n"/>
      <c r="I39" s="2" t="n"/>
      <c r="J39" s="2" t="n"/>
      <c r="K39" s="2" t="n"/>
      <c r="L39" s="153" t="inlineStr">
        <is>
          <t>Business</t>
        </is>
      </c>
      <c r="M39" s="122">
        <f>COUNTIFS('Habits Setup'!C5:C104,L39,'Habits Setup'!H5:H104,"Yes")</f>
        <v/>
      </c>
      <c r="N39" s="32" t="n">
        <v>218</v>
      </c>
      <c r="O39" s="145">
        <f>IFERROR(N39/SUM(N35:N41),0)</f>
        <v/>
      </c>
      <c r="P39" s="2" t="n"/>
      <c r="Q39" s="2" t="n"/>
      <c r="R39" s="2" t="n"/>
      <c r="S39" s="2" t="n"/>
      <c r="T39" s="2" t="n"/>
    </row>
    <row r="40" ht="20" customHeight="1">
      <c r="A40" s="2" t="n"/>
      <c r="B40" s="2" t="n"/>
      <c r="C40" s="2" t="n"/>
      <c r="D40" s="2" t="n"/>
      <c r="E40" s="2" t="n"/>
      <c r="F40" s="2" t="n"/>
      <c r="G40" s="2" t="n"/>
      <c r="H40" s="2" t="n"/>
      <c r="I40" s="2" t="n"/>
      <c r="J40" s="2" t="n"/>
      <c r="K40" s="2" t="n"/>
      <c r="L40" s="154" t="inlineStr">
        <is>
          <t>Social</t>
        </is>
      </c>
      <c r="M40" s="120">
        <f>COUNTIFS('Habits Setup'!C5:C104,L40,'Habits Setup'!H5:H104,"Yes")</f>
        <v/>
      </c>
      <c r="N40" s="32" t="n">
        <v>599</v>
      </c>
      <c r="O40" s="143">
        <f>IFERROR(N40/SUM(N35:N41),0)</f>
        <v/>
      </c>
      <c r="P40" s="2" t="n"/>
      <c r="Q40" s="2" t="n"/>
      <c r="R40" s="2" t="n"/>
      <c r="S40" s="2" t="n"/>
      <c r="T40" s="2" t="n"/>
    </row>
    <row r="41" ht="20" customHeight="1">
      <c r="A41" s="2" t="n"/>
      <c r="B41" s="2" t="n"/>
      <c r="C41" s="2" t="n"/>
      <c r="D41" s="2" t="n"/>
      <c r="E41" s="2" t="n"/>
      <c r="F41" s="2" t="n"/>
      <c r="G41" s="2" t="n"/>
      <c r="H41" s="2" t="n"/>
      <c r="I41" s="2" t="n"/>
      <c r="J41" s="2" t="n"/>
      <c r="K41" s="2" t="n"/>
      <c r="L41" s="155" t="inlineStr">
        <is>
          <t>Other</t>
        </is>
      </c>
      <c r="M41" s="122">
        <f>COUNTIFS('Habits Setup'!C5:C104,L41,'Habits Setup'!H5:H104,"Yes")</f>
        <v/>
      </c>
      <c r="N41" s="32" t="n">
        <v>577</v>
      </c>
      <c r="O41" s="145">
        <f>IFERROR(N41/SUM(N35:N41),0)</f>
        <v/>
      </c>
      <c r="P41" s="2" t="n"/>
      <c r="Q41" s="2" t="n"/>
      <c r="R41" s="2" t="n"/>
      <c r="S41" s="2" t="n"/>
      <c r="T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row>
    <row r="61">
      <c r="A61" s="2" t="n"/>
      <c r="B61" s="2" t="n"/>
      <c r="C61" s="2" t="n"/>
      <c r="D61" s="2" t="n"/>
      <c r="E61" s="2" t="n"/>
      <c r="F61" s="2" t="n"/>
      <c r="G61" s="2" t="n"/>
      <c r="H61" s="2" t="n"/>
      <c r="I61" s="2" t="n"/>
      <c r="J61" s="2" t="n"/>
      <c r="K61" s="2" t="n"/>
      <c r="L61" s="2" t="n"/>
      <c r="M61" s="2" t="n"/>
      <c r="N61" s="2" t="n"/>
      <c r="O61" s="2" t="n"/>
      <c r="P61" s="2" t="n"/>
      <c r="Q61" s="2" t="n"/>
      <c r="R61" s="2" t="n"/>
      <c r="S61" s="2" t="n"/>
      <c r="T61" s="2" t="n"/>
    </row>
    <row r="62">
      <c r="A62" s="2" t="n"/>
      <c r="B62" s="2" t="n"/>
      <c r="C62" s="2" t="n"/>
      <c r="D62" s="2" t="n"/>
      <c r="E62" s="2" t="n"/>
      <c r="F62" s="2" t="n"/>
      <c r="G62" s="2" t="n"/>
      <c r="H62" s="2" t="n"/>
      <c r="I62" s="2" t="n"/>
      <c r="J62" s="2" t="n"/>
      <c r="K62" s="2" t="n"/>
      <c r="L62" s="2" t="n"/>
      <c r="M62" s="2" t="n"/>
      <c r="N62" s="2" t="n"/>
      <c r="O62" s="2" t="n"/>
      <c r="P62" s="2" t="n"/>
      <c r="Q62" s="2" t="n"/>
      <c r="R62" s="2" t="n"/>
      <c r="S62" s="2" t="n"/>
      <c r="T62" s="2" t="n"/>
    </row>
    <row r="63">
      <c r="A63" s="2" t="n"/>
      <c r="B63" s="2" t="n"/>
      <c r="C63" s="2" t="n"/>
      <c r="D63" s="2" t="n"/>
      <c r="E63" s="2" t="n"/>
      <c r="F63" s="2" t="n"/>
      <c r="G63" s="2" t="n"/>
      <c r="H63" s="2" t="n"/>
      <c r="I63" s="2" t="n"/>
      <c r="J63" s="2" t="n"/>
      <c r="K63" s="2" t="n"/>
      <c r="L63" s="2" t="n"/>
      <c r="M63" s="2" t="n"/>
      <c r="N63" s="2" t="n"/>
      <c r="O63" s="2" t="n"/>
      <c r="P63" s="2" t="n"/>
      <c r="Q63" s="2" t="n"/>
      <c r="R63" s="2" t="n"/>
      <c r="S63" s="2" t="n"/>
      <c r="T63" s="2" t="n"/>
    </row>
    <row r="64">
      <c r="A64" s="2" t="n"/>
      <c r="B64" s="2" t="n"/>
      <c r="C64" s="2" t="n"/>
      <c r="D64" s="2" t="n"/>
      <c r="E64" s="2" t="n"/>
      <c r="F64" s="2" t="n"/>
      <c r="G64" s="2" t="n"/>
      <c r="H64" s="2" t="n"/>
      <c r="I64" s="2" t="n"/>
      <c r="J64" s="2" t="n"/>
      <c r="K64" s="2" t="n"/>
      <c r="L64" s="2" t="n"/>
      <c r="M64" s="2" t="n"/>
      <c r="N64" s="2" t="n"/>
      <c r="O64" s="2" t="n"/>
      <c r="P64" s="2" t="n"/>
      <c r="Q64" s="2" t="n"/>
      <c r="R64" s="2" t="n"/>
      <c r="S64" s="2" t="n"/>
      <c r="T64" s="2" t="n"/>
    </row>
    <row r="65">
      <c r="A65" s="2" t="n"/>
      <c r="B65" s="2" t="n"/>
      <c r="C65" s="2" t="n"/>
      <c r="D65" s="2" t="n"/>
      <c r="E65" s="2" t="n"/>
      <c r="F65" s="2" t="n"/>
      <c r="G65" s="2" t="n"/>
      <c r="H65" s="2" t="n"/>
      <c r="I65" s="2" t="n"/>
      <c r="J65" s="2" t="n"/>
      <c r="K65" s="2" t="n"/>
      <c r="L65" s="2" t="n"/>
      <c r="M65" s="2" t="n"/>
      <c r="N65" s="2" t="n"/>
      <c r="O65" s="2" t="n"/>
      <c r="P65" s="2" t="n"/>
      <c r="Q65" s="2" t="n"/>
      <c r="R65" s="2" t="n"/>
      <c r="S65" s="2" t="n"/>
      <c r="T65" s="2" t="n"/>
    </row>
    <row r="66">
      <c r="A66" s="2" t="n"/>
      <c r="B66" s="2" t="n"/>
      <c r="C66" s="2" t="n"/>
      <c r="D66" s="2" t="n"/>
      <c r="E66" s="2" t="n"/>
      <c r="F66" s="2" t="n"/>
      <c r="G66" s="2" t="n"/>
      <c r="H66" s="2" t="n"/>
      <c r="I66" s="2" t="n"/>
      <c r="J66" s="2" t="n"/>
      <c r="K66" s="2" t="n"/>
      <c r="L66" s="2" t="n"/>
      <c r="M66" s="2" t="n"/>
      <c r="N66" s="2" t="n"/>
      <c r="O66" s="2" t="n"/>
      <c r="P66" s="2" t="n"/>
      <c r="Q66" s="2" t="n"/>
      <c r="R66" s="2" t="n"/>
      <c r="S66" s="2" t="n"/>
      <c r="T66" s="2" t="n"/>
    </row>
    <row r="67">
      <c r="A67" s="2" t="n"/>
      <c r="B67" s="2" t="n"/>
      <c r="C67" s="2" t="n"/>
      <c r="D67" s="2" t="n"/>
      <c r="E67" s="2" t="n"/>
      <c r="F67" s="2" t="n"/>
      <c r="G67" s="2" t="n"/>
      <c r="H67" s="2" t="n"/>
      <c r="I67" s="2" t="n"/>
      <c r="J67" s="2" t="n"/>
      <c r="K67" s="2" t="n"/>
      <c r="L67" s="2" t="n"/>
      <c r="M67" s="2" t="n"/>
      <c r="N67" s="2" t="n"/>
      <c r="O67" s="2" t="n"/>
      <c r="P67" s="2" t="n"/>
      <c r="Q67" s="2" t="n"/>
      <c r="R67" s="2" t="n"/>
      <c r="S67" s="2" t="n"/>
      <c r="T67" s="2" t="n"/>
    </row>
    <row r="68">
      <c r="A68" s="2" t="n"/>
      <c r="B68" s="2" t="n"/>
      <c r="C68" s="2" t="n"/>
      <c r="D68" s="2" t="n"/>
      <c r="E68" s="2" t="n"/>
      <c r="F68" s="2" t="n"/>
      <c r="G68" s="2" t="n"/>
      <c r="H68" s="2" t="n"/>
      <c r="I68" s="2" t="n"/>
      <c r="J68" s="2" t="n"/>
      <c r="K68" s="2" t="n"/>
      <c r="L68" s="2" t="n"/>
      <c r="M68" s="2" t="n"/>
      <c r="N68" s="2" t="n"/>
      <c r="O68" s="2" t="n"/>
      <c r="P68" s="2" t="n"/>
      <c r="Q68" s="2" t="n"/>
      <c r="R68" s="2" t="n"/>
      <c r="S68" s="2" t="n"/>
      <c r="T68" s="2" t="n"/>
    </row>
    <row r="69">
      <c r="A69" s="2" t="n"/>
      <c r="B69" s="2" t="n"/>
      <c r="C69" s="2" t="n"/>
      <c r="D69" s="2" t="n"/>
      <c r="E69" s="2" t="n"/>
      <c r="F69" s="2" t="n"/>
      <c r="G69" s="2" t="n"/>
      <c r="H69" s="2" t="n"/>
      <c r="I69" s="2" t="n"/>
      <c r="J69" s="2" t="n"/>
      <c r="K69" s="2" t="n"/>
      <c r="L69" s="2" t="n"/>
      <c r="M69" s="2" t="n"/>
      <c r="N69" s="2" t="n"/>
      <c r="O69" s="2" t="n"/>
      <c r="P69" s="2" t="n"/>
      <c r="Q69" s="2" t="n"/>
      <c r="R69" s="2" t="n"/>
      <c r="S69" s="2" t="n"/>
      <c r="T69" s="2" t="n"/>
    </row>
    <row r="70">
      <c r="A70" s="2" t="n"/>
      <c r="B70" s="2" t="n"/>
      <c r="C70" s="2" t="n"/>
      <c r="D70" s="2" t="n"/>
      <c r="E70" s="2" t="n"/>
      <c r="F70" s="2" t="n"/>
      <c r="G70" s="2" t="n"/>
      <c r="H70" s="2" t="n"/>
      <c r="I70" s="2" t="n"/>
      <c r="J70" s="2" t="n"/>
      <c r="K70" s="2" t="n"/>
      <c r="L70" s="2" t="n"/>
      <c r="M70" s="2" t="n"/>
      <c r="N70" s="2" t="n"/>
      <c r="O70" s="2" t="n"/>
      <c r="P70" s="2" t="n"/>
      <c r="Q70" s="2" t="n"/>
      <c r="R70" s="2" t="n"/>
      <c r="S70" s="2" t="n"/>
      <c r="T70" s="2" t="n"/>
    </row>
    <row r="71">
      <c r="A71" s="2" t="n"/>
      <c r="B71" s="2" t="n"/>
      <c r="C71" s="2" t="n"/>
      <c r="D71" s="2" t="n"/>
      <c r="E71" s="2" t="n"/>
      <c r="F71" s="2" t="n"/>
      <c r="G71" s="2" t="n"/>
      <c r="H71" s="2" t="n"/>
      <c r="I71" s="2" t="n"/>
      <c r="J71" s="2" t="n"/>
      <c r="K71" s="2" t="n"/>
      <c r="L71" s="2" t="n"/>
      <c r="M71" s="2" t="n"/>
      <c r="N71" s="2" t="n"/>
      <c r="O71" s="2" t="n"/>
      <c r="P71" s="2" t="n"/>
      <c r="Q71" s="2" t="n"/>
      <c r="R71" s="2" t="n"/>
      <c r="S71" s="2" t="n"/>
      <c r="T71" s="2" t="n"/>
    </row>
    <row r="72">
      <c r="A72" s="2" t="n"/>
      <c r="B72" s="2" t="n"/>
      <c r="C72" s="2" t="n"/>
      <c r="D72" s="2" t="n"/>
      <c r="E72" s="2" t="n"/>
      <c r="F72" s="2" t="n"/>
      <c r="G72" s="2" t="n"/>
      <c r="H72" s="2" t="n"/>
      <c r="I72" s="2" t="n"/>
      <c r="J72" s="2" t="n"/>
      <c r="K72" s="2" t="n"/>
      <c r="L72" s="2" t="n"/>
      <c r="M72" s="2" t="n"/>
      <c r="N72" s="2" t="n"/>
      <c r="O72" s="2" t="n"/>
      <c r="P72" s="2" t="n"/>
      <c r="Q72" s="2" t="n"/>
      <c r="R72" s="2" t="n"/>
      <c r="S72" s="2" t="n"/>
      <c r="T72" s="2" t="n"/>
    </row>
    <row r="73">
      <c r="A73" s="2" t="n"/>
      <c r="B73" s="2" t="n"/>
      <c r="C73" s="2" t="n"/>
      <c r="D73" s="2" t="n"/>
      <c r="E73" s="2" t="n"/>
      <c r="F73" s="2" t="n"/>
      <c r="G73" s="2" t="n"/>
      <c r="H73" s="2" t="n"/>
      <c r="I73" s="2" t="n"/>
      <c r="J73" s="2" t="n"/>
      <c r="K73" s="2" t="n"/>
      <c r="L73" s="2" t="n"/>
      <c r="M73" s="2" t="n"/>
      <c r="N73" s="2" t="n"/>
      <c r="O73" s="2" t="n"/>
      <c r="P73" s="2" t="n"/>
      <c r="Q73" s="2" t="n"/>
      <c r="R73" s="2" t="n"/>
      <c r="S73" s="2" t="n"/>
      <c r="T73" s="2" t="n"/>
    </row>
    <row r="74">
      <c r="A74" s="2" t="n"/>
      <c r="B74" s="2" t="n"/>
      <c r="C74" s="2" t="n"/>
      <c r="D74" s="2" t="n"/>
      <c r="E74" s="2" t="n"/>
      <c r="F74" s="2" t="n"/>
      <c r="G74" s="2" t="n"/>
      <c r="H74" s="2" t="n"/>
      <c r="I74" s="2" t="n"/>
      <c r="J74" s="2" t="n"/>
      <c r="K74" s="2" t="n"/>
      <c r="L74" s="2" t="n"/>
      <c r="M74" s="2" t="n"/>
      <c r="N74" s="2" t="n"/>
      <c r="O74" s="2" t="n"/>
      <c r="P74" s="2" t="n"/>
      <c r="Q74" s="2" t="n"/>
      <c r="R74" s="2" t="n"/>
      <c r="S74" s="2" t="n"/>
      <c r="T74" s="2" t="n"/>
    </row>
    <row r="75">
      <c r="A75" s="2" t="n"/>
      <c r="B75" s="2" t="n"/>
      <c r="C75" s="2" t="n"/>
      <c r="D75" s="2" t="n"/>
      <c r="E75" s="2" t="n"/>
      <c r="F75" s="2" t="n"/>
      <c r="G75" s="2" t="n"/>
      <c r="H75" s="2" t="n"/>
      <c r="I75" s="2" t="n"/>
      <c r="J75" s="2" t="n"/>
      <c r="K75" s="2" t="n"/>
      <c r="L75" s="2" t="n"/>
      <c r="M75" s="2" t="n"/>
      <c r="N75" s="2" t="n"/>
      <c r="O75" s="2" t="n"/>
      <c r="P75" s="2" t="n"/>
      <c r="Q75" s="2" t="n"/>
      <c r="R75" s="2" t="n"/>
      <c r="S75" s="2" t="n"/>
      <c r="T75" s="2" t="n"/>
    </row>
    <row r="76">
      <c r="A76" s="2" t="n"/>
      <c r="B76" s="2" t="n"/>
      <c r="C76" s="2" t="n"/>
      <c r="D76" s="2" t="n"/>
      <c r="E76" s="2" t="n"/>
      <c r="F76" s="2" t="n"/>
      <c r="G76" s="2" t="n"/>
      <c r="H76" s="2" t="n"/>
      <c r="I76" s="2" t="n"/>
      <c r="J76" s="2" t="n"/>
      <c r="K76" s="2" t="n"/>
      <c r="L76" s="2" t="n"/>
      <c r="M76" s="2" t="n"/>
      <c r="N76" s="2" t="n"/>
      <c r="O76" s="2" t="n"/>
      <c r="P76" s="2" t="n"/>
      <c r="Q76" s="2" t="n"/>
      <c r="R76" s="2" t="n"/>
      <c r="S76" s="2" t="n"/>
      <c r="T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row>
  </sheetData>
  <mergeCells count="5">
    <mergeCell ref="A2:R2"/>
    <mergeCell ref="L33:P33"/>
    <mergeCell ref="A21:J21"/>
    <mergeCell ref="A4:J4"/>
    <mergeCell ref="A1:R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2026-03-23T22:13:35Z</dcterms:created>
  <dcterms:modified xmlns:dcterms="http://purl.org/dc/terms/" xmlns:xsi="http://www.w3.org/2001/XMLSchema-instance" xsi:type="dcterms:W3CDTF">2026-03-23T22:13:36Z</dcterms:modified>
</cp:coreProperties>
</file>